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6ca040e17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b5930dd5fe497f"/>
    <x:sheet xmlns:r="http://schemas.openxmlformats.org/officeDocument/2006/relationships" name="Sections" sheetId="2" r:id="R9c6fa15ea988462d"/>
    <x:sheet xmlns:r="http://schemas.openxmlformats.org/officeDocument/2006/relationships" name="Line Items" sheetId="3" r:id="Rc4a6b135c3144ee2"/>
    <x:sheet xmlns:r="http://schemas.openxmlformats.org/officeDocument/2006/relationships" name="Cost Codes" sheetId="4" r:id="R7b1f68f787a34d1f"/>
    <x:sheet xmlns:r="http://schemas.openxmlformats.org/officeDocument/2006/relationships" name="Categories" sheetId="5" r:id="R743bcc0e2e454cc6"/>
    <x:sheet xmlns:r="http://schemas.openxmlformats.org/officeDocument/2006/relationships" name="Tax Margin Rules" sheetId="6" r:id="R387fb057d5ac4060"/>
    <x:sheet xmlns:r="http://schemas.openxmlformats.org/officeDocument/2006/relationships" name="Broken References" sheetId="7" r:id="Rec99ef562cd74f02"/>
    <x:sheet xmlns:r="http://schemas.openxmlformats.org/officeDocument/2006/relationships" name="App Fields" sheetId="8" r:id="Rc4352e20f601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1F2937"/>
      <x:name val="Carlito"/>
    </x:font>
    <x:font>
      <x:i/>
      <x:sz val="11"/>
      <x:color rgb="4B5563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5F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2296b20a343cd" /><Relationship Type="http://schemas.openxmlformats.org/officeDocument/2006/relationships/theme" Target="/xl/theme/theme1.xml" Id="Re6593aac7ed5454a" /><Relationship Type="http://schemas.openxmlformats.org/officeDocument/2006/relationships/sharedStrings" Target="/xl/sharedStrings.xml" Id="R8b645c24fce944e2" /><Relationship Type="http://schemas.openxmlformats.org/officeDocument/2006/relationships/worksheet" Target="/xl/worksheets/sheet1.xml" Id="Ra8b5930dd5fe497f" /><Relationship Type="http://schemas.openxmlformats.org/officeDocument/2006/relationships/worksheet" Target="/xl/worksheets/sheet2.xml" Id="R9c6fa15ea988462d" /><Relationship Type="http://schemas.openxmlformats.org/officeDocument/2006/relationships/worksheet" Target="/xl/worksheets/sheet3.xml" Id="Rc4a6b135c3144ee2" /><Relationship Type="http://schemas.openxmlformats.org/officeDocument/2006/relationships/worksheet" Target="/xl/worksheets/sheet4.xml" Id="R7b1f68f787a34d1f" /><Relationship Type="http://schemas.openxmlformats.org/officeDocument/2006/relationships/worksheet" Target="/xl/worksheets/sheet5.xml" Id="R743bcc0e2e454cc6" /><Relationship Type="http://schemas.openxmlformats.org/officeDocument/2006/relationships/worksheet" Target="/xl/worksheets/sheet6.xml" Id="R387fb057d5ac4060" /><Relationship Type="http://schemas.openxmlformats.org/officeDocument/2006/relationships/worksheet" Target="/xl/worksheets/sheet7.xml" Id="Rec99ef562cd74f02" /><Relationship Type="http://schemas.openxmlformats.org/officeDocument/2006/relationships/worksheet" Target="/xl/worksheets/sheet8.xml" Id="Rc4352e20f60142a5" /></Relationships>
</file>

<file path=xl/tables/table1.xml><?xml version="1.0" encoding="utf-8"?>
<x:table xmlns:x="http://schemas.openxmlformats.org/spreadsheetml/2006/main" id="1" name="SummaryTable" displayName="SummaryTable" ref="A4:B14" headerRowCount="1">
  <x:autoFilter ref="A4:B14"/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SectionsTable" displayName="SectionsTable" ref="A4:G20" headerRowCount="1">
  <x:autoFilter ref="A4:G20"/>
  <x:tableColumns count="7">
    <x:tableColumn id="1" name="Sort"/>
    <x:tableColumn id="2" name="Section"/>
    <x:tableColumn id="3" name="Default Margin %"/>
    <x:tableColumn id="4" name="Active Margin Formula"/>
    <x:tableColumn id="5" name="Cost Formula"/>
    <x:tableColumn id="6" name="Retail Formula"/>
    <x:tableColumn id="7" name="Billing Formula"/>
  </x:tableColumns>
  <x:tableStyleInfo name="TableStyleMedium2" showRowStripes="1"/>
</x:table>
</file>

<file path=xl/tables/table3.xml><?xml version="1.0" encoding="utf-8"?>
<x:table xmlns:x="http://schemas.openxmlformats.org/spreadsheetml/2006/main" id="3" name="LineItemsTable" displayName="LineItemsTable" ref="A4:O115" headerRowCount="1">
  <x:autoFilter ref="A4:O115"/>
  <x:tableColumns count="15">
    <x:tableColumn id="1" name="Section"/>
    <x:tableColumn id="2" name="Source Row"/>
    <x:tableColumn id="3" name="Cost Code"/>
    <x:tableColumn id="4" name="Category"/>
    <x:tableColumn id="5" name="Description"/>
    <x:tableColumn id="6" name="Pricing Note"/>
    <x:tableColumn id="7" name="Default Quantity"/>
    <x:tableColumn id="8" name="Unit"/>
    <x:tableColumn id="9" name="Default Unit Cost"/>
    <x:tableColumn id="10" name="Cost Formula"/>
    <x:tableColumn id="11" name="Retail Formula"/>
    <x:tableColumn id="12" name="PST Taxable"/>
    <x:tableColumn id="13" name="GST Taxable"/>
    <x:tableColumn id="14" name="Customer Visible"/>
    <x:tableColumn id="15" name="Optional"/>
  </x:tableColumns>
  <x:tableStyleInfo name="TableStyleMedium2" showRowStripes="1"/>
</x:table>
</file>

<file path=xl/tables/table4.xml><?xml version="1.0" encoding="utf-8"?>
<x:table xmlns:x="http://schemas.openxmlformats.org/spreadsheetml/2006/main" id="4" name="CostCodesTable" displayName="CostCodesTable" ref="A4:B23" headerRowCount="1">
  <x:autoFilter ref="A4:B23"/>
  <x:tableColumns count="2">
    <x:tableColumn id="1" name="Cost Code"/>
    <x:tableColumn id="2" name="Cost Code Name"/>
  </x:tableColumns>
  <x:tableStyleInfo name="TableStyleMedium2" showRowStripes="1"/>
</x:table>
</file>

<file path=xl/tables/table5.xml><?xml version="1.0" encoding="utf-8"?>
<x:table xmlns:x="http://schemas.openxmlformats.org/spreadsheetml/2006/main" id="5" name="CategoriesTable" displayName="CategoriesTable" ref="A4:C24" headerRowCount="1">
  <x:autoFilter ref="A4:C24"/>
  <x:tableColumns count="3">
    <x:tableColumn id="1" name="List Type"/>
    <x:tableColumn id="2" name="Value"/>
    <x:tableColumn id="3" name="Meaning / Notes"/>
  </x:tableColumns>
  <x:tableStyleInfo name="TableStyleMedium2" showRowStripes="1"/>
</x:table>
</file>

<file path=xl/tables/table6.xml><?xml version="1.0" encoding="utf-8"?>
<x:table xmlns:x="http://schemas.openxmlformats.org/spreadsheetml/2006/main" id="6" name="TaxMarginRulesTable" displayName="TaxMarginRulesTable" ref="A4:D9" headerRowCount="1">
  <x:autoFilter ref="A4:D9"/>
  <x:tableColumns count="4">
    <x:tableColumn id="1" name="Rule"/>
    <x:tableColumn id="2" name="Default"/>
    <x:tableColumn id="3" name="Adjustable?"/>
    <x:tableColumn id="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BrokenReferencesTable" displayName="BrokenReferencesTable" ref="A4:B8" headerRowCount="1">
  <x:autoFilter ref="A4:B8"/>
  <x:tableColumns count="2">
    <x:tableColumn id="1" name="Cell"/>
    <x:tableColumn id="2" name="Formula"/>
  </x:tableColumns>
  <x:tableStyleInfo name="TableStyleMedium2" showRowStripes="1"/>
</x:table>
</file>

<file path=xl/tables/table8.xml><?xml version="1.0" encoding="utf-8"?>
<x:table xmlns:x="http://schemas.openxmlformats.org/spreadsheetml/2006/main" id="8" name="AppFieldsTable" displayName="AppFieldsTable" ref="A4:D18" headerRowCount="1">
  <x:autoFilter ref="A4:D18"/>
  <x:tableColumns count="4">
    <x:tableColumn id="1" name="Record"/>
    <x:tableColumn id="2" name="Field"/>
    <x:tableColumn id="3" name="Typ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b2c76332d843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d88e3a780041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3e98ca0eab4c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05c125cac34a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e7d4510bcb4a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a79c5ea889648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03540ccc9f942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b1a67e9e1e8411c" /></Relationships>
</file>

<file path=xl/worksheets/sheet1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82.7699966430664" hidden="0" customWidth="1"/>
  </x:cols>
  <x:sheetData>
    <x:row r="1" ht="21.600000381469727" hidden="0" customHeight="1">
      <x:c r="A1" s="1" t="str">
        <x:v>Estimate Library Extract</x:v>
      </x:c>
    </x:row>
    <x:row r="2" ht="15" hidden="0" customHeight="1">
      <x:c r="A2" s="2" t="str">
        <x:v>Clean starting point for the web app estimating engine.</x:v>
      </x:c>
    </x:row>
    <x:row r="3"/>
    <x:row r="4" ht="15" hidden="0" customHeight="1">
      <x:c r="A4" s="5" t="str">
        <x:v>Item</x:v>
      </x:c>
      <x:c r="B4" s="5" t="str">
        <x:v>Value</x:v>
      </x:c>
    </x:row>
    <x:row r="5" ht="15" hidden="0" customHeight="1">
      <x:c r="A5" t="str">
        <x:v>Source workbook</x:v>
      </x:c>
      <x:c r="B5" t="str">
        <x:v>C:/Users/Chris/OneDrive - Zak's Home Building Centre/Desktop/RTM &amp; Site Calc Template July 20251.xlsx</x:v>
      </x:c>
    </x:row>
    <x:row r="6" ht="15" hidden="0" customHeight="1">
      <x:c r="A6" t="str">
        <x:v>Source sheet</x:v>
      </x:c>
      <x:c r="B6" t="str">
        <x:v>RTM Calc</x:v>
      </x:c>
    </x:row>
    <x:row r="7" ht="15" hidden="0" customHeight="1">
      <x:c r="A7" t="str">
        <x:v>Estimate format</x:v>
      </x:c>
      <x:c r="B7" t="str">
        <x:v>Shared RTM and site-built format</x:v>
      </x:c>
    </x:row>
    <x:row r="8" ht="15" hidden="0" customHeight="1">
      <x:c r="A8" t="str">
        <x:v>Normal margin</x:v>
      </x:c>
      <x:c r="B8" t="str">
        <x:v>18%, adjustable by project and section</x:v>
      </x:c>
    </x:row>
    <x:row r="9" ht="15" hidden="0" customHeight="1">
      <x:c r="A9" t="str">
        <x:v>PST</x:v>
      </x:c>
      <x:c r="B9" t="str">
        <x:v>6% default</x:v>
      </x:c>
    </x:row>
    <x:row r="10" ht="15" hidden="0" customHeight="1">
      <x:c r="A10" t="str">
        <x:v>GST</x:v>
      </x:c>
      <x:c r="B10" t="str">
        <x:v>5% default</x:v>
      </x:c>
    </x:row>
    <x:row r="11" ht="15" hidden="0" customHeight="1">
      <x:c r="A11" t="str">
        <x:v>Sections extracted</x:v>
      </x:c>
      <x:c r="B11" t="n">
        <x:v>16</x:v>
      </x:c>
    </x:row>
    <x:row r="12" ht="15" hidden="0" customHeight="1">
      <x:c r="A12" t="str">
        <x:v>Line items extracted</x:v>
      </x:c>
      <x:c r="B12" t="n">
        <x:v>111</x:v>
      </x:c>
    </x:row>
    <x:row r="13" ht="15" hidden="0" customHeight="1">
      <x:c r="A13" t="str">
        <x:v>Cost codes extracted</x:v>
      </x:c>
      <x:c r="B13" t="n">
        <x:v>19</x:v>
      </x:c>
    </x:row>
    <x:row r="14" ht="15" hidden="0" customHeight="1">
      <x:c r="A14" t="str">
        <x:v>Broken formula references found</x:v>
      </x:c>
      <x:c r="B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1b2c76332d843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400000095367432" hidden="0" customWidth="1"/>
    <x:col min="2" max="2" width="24.899999618530273" hidden="0" customWidth="1"/>
    <x:col min="3" max="3" width="16.81999969482422" hidden="0" customWidth="1"/>
    <x:col min="4" max="4" width="22.209999084472656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</x:cols>
  <x:sheetData>
    <x:row r="1" ht="21.600000381469727" hidden="0" customHeight="1">
      <x:c r="A1" s="1" t="str">
        <x:v>Estimate Sections</x:v>
      </x:c>
    </x:row>
    <x:row r="2" ht="15" hidden="0" customHeight="1">
      <x:c r="A2" s="2" t="str">
        <x:v>Shared section structure for RTM and site-built jobs.</x:v>
      </x:c>
    </x:row>
    <x:row r="3"/>
    <x:row r="4" ht="15" hidden="0" customHeight="1">
      <x:c r="A4" s="5" t="str">
        <x:v>Sort</x:v>
      </x:c>
      <x:c r="B4" s="5" t="str">
        <x:v>Section</x:v>
      </x:c>
      <x:c r="C4" s="5" t="str">
        <x:v>Default Margin %</x:v>
      </x:c>
      <x:c r="D4" s="5" t="str">
        <x:v>Active Margin Formula</x:v>
      </x:c>
      <x:c r="E4" s="5" t="str">
        <x:v>Cost Formula</x:v>
      </x:c>
      <x:c r="F4" s="5" t="str">
        <x:v>Retail Formula</x:v>
      </x:c>
      <x:c r="G4" s="5" t="str">
        <x:v>Billing Formula</x:v>
      </x:c>
    </x:row>
    <x:row r="5" ht="15" hidden="0" customHeight="1">
      <x:c r="A5" t="n">
        <x:v>1</x:v>
      </x:c>
      <x:c r="B5" t="str">
        <x:v>Project Materials</x:v>
      </x:c>
      <x:c r="C5" t="n">
        <x:v>20</x:v>
      </x:c>
      <x:c r="D5" t="n">
        <x:f>(G7+$P$2)/2</x:f>
        <x:v>0</x:v>
      </x:c>
      <x:c r="E5" t="n">
        <x:f>SUM(O9:O30)</x:f>
        <x:v>0</x:v>
      </x:c>
      <x:c r="F5" t="n">
        <x:f>SUM(P9:P30)</x:f>
        <x:v>0</x:v>
      </x:c>
      <x:c r="G5" t="n">
        <x:f>SUM(R9:R30)</x:f>
        <x:v>0</x:v>
      </x:c>
    </x:row>
    <x:row r="6" ht="15" hidden="0" customHeight="1">
      <x:c r="A6" t="n">
        <x:v>2</x:v>
      </x:c>
      <x:c r="B6" t="str">
        <x:v>Framing</x:v>
      </x:c>
      <x:c r="C6" t="n">
        <x:v>20</x:v>
      </x:c>
      <x:c r="D6" t="n">
        <x:f>(G32+$P$2)/2</x:f>
        <x:v>0</x:v>
      </x:c>
      <x:c r="E6" t="n">
        <x:f>SUM(O34:O42)</x:f>
        <x:v>0</x:v>
      </x:c>
      <x:c r="F6" t="n">
        <x:f>SUM(P34:P42)</x:f>
        <x:v>0</x:v>
      </x:c>
      <x:c r="G6" t="n">
        <x:f>SUM(R34:R42)</x:f>
        <x:v>0</x:v>
      </x:c>
    </x:row>
    <x:row r="7" ht="15" hidden="0" customHeight="1">
      <x:c r="A7" t="n">
        <x:v>3</x:v>
      </x:c>
      <x:c r="B7" t="str">
        <x:v>Roofing</x:v>
      </x:c>
      <x:c r="C7" t="n">
        <x:v>20</x:v>
      </x:c>
      <x:c r="D7" t="n">
        <x:f>(G44+$P$2)/2</x:f>
        <x:v>0</x:v>
      </x:c>
      <x:c r="E7" t="n">
        <x:f>SUM(O46:O51)</x:f>
        <x:v>0</x:v>
      </x:c>
      <x:c r="F7" t="n">
        <x:f>SUM(P46:P51)</x:f>
        <x:v>0</x:v>
      </x:c>
      <x:c r="G7" t="n">
        <x:f>SUM(R46:R51)</x:f>
        <x:v>0</x:v>
      </x:c>
    </x:row>
    <x:row r="8" ht="15" hidden="0" customHeight="1">
      <x:c r="A8" t="n">
        <x:v>4</x:v>
      </x:c>
      <x:c r="B8" t="str">
        <x:v>Plumbing/Mechanical</x:v>
      </x:c>
      <x:c r="C8" t="n">
        <x:v>20</x:v>
      </x:c>
      <x:c r="D8" t="n">
        <x:f>(G53+$P$2)/2</x:f>
        <x:v>0</x:v>
      </x:c>
      <x:c r="E8" t="n">
        <x:f>SUM(O55:O65)</x:f>
        <x:v>0</x:v>
      </x:c>
      <x:c r="F8" t="n">
        <x:f>SUM(P55:P65)</x:f>
        <x:v>0</x:v>
      </x:c>
      <x:c r="G8" t="n">
        <x:f>SUM(R55:R65)</x:f>
        <x:v>0</x:v>
      </x:c>
    </x:row>
    <x:row r="9" ht="15" hidden="0" customHeight="1">
      <x:c r="A9" t="n">
        <x:v>5</x:v>
      </x:c>
      <x:c r="B9" t="str">
        <x:v>Electrical</x:v>
      </x:c>
      <x:c r="C9" t="n">
        <x:v>19</x:v>
      </x:c>
      <x:c r="D9" t="n">
        <x:f>(G67+$P$2)/2</x:f>
        <x:v>0</x:v>
      </x:c>
      <x:c r="E9" t="n">
        <x:f>SUM(O69:O77)</x:f>
        <x:v>0</x:v>
      </x:c>
      <x:c r="F9" t="n">
        <x:f>SUM(P69:P77)</x:f>
        <x:v>0</x:v>
      </x:c>
      <x:c r="G9" t="n">
        <x:f>SUM(R69:R77)</x:f>
        <x:v>0</x:v>
      </x:c>
    </x:row>
    <x:row r="10" ht="15" hidden="0" customHeight="1">
      <x:c r="A10" t="n">
        <x:v>6</x:v>
      </x:c>
      <x:c r="B10" t="str">
        <x:v>Exterior</x:v>
      </x:c>
      <x:c r="C10" t="n">
        <x:v>20</x:v>
      </x:c>
      <x:c r="D10" t="n">
        <x:f>(G79+$P$2)/2</x:f>
        <x:v>0</x:v>
      </x:c>
      <x:c r="E10" t="n">
        <x:f>SUM(O81:O90)</x:f>
        <x:v>0</x:v>
      </x:c>
      <x:c r="F10" t="n">
        <x:f>SUM(P81:P90)</x:f>
        <x:v>0</x:v>
      </x:c>
      <x:c r="G10" t="n">
        <x:f>SUM(R81:R90)</x:f>
        <x:v>0</x:v>
      </x:c>
    </x:row>
    <x:row r="11" ht="15" hidden="0" customHeight="1">
      <x:c r="A11" t="n">
        <x:v>7</x:v>
      </x:c>
      <x:c r="B11" t="str">
        <x:v>Insulation</x:v>
      </x:c>
      <x:c r="C11" t="n">
        <x:v>16</x:v>
      </x:c>
      <x:c r="D11" t="n">
        <x:f>(G92+$P$2)/2</x:f>
        <x:v>0</x:v>
      </x:c>
      <x:c r="E11" t="n">
        <x:f>SUM(O94:O102)</x:f>
        <x:v>0</x:v>
      </x:c>
      <x:c r="F11" t="n">
        <x:f>SUM(P94:P102)</x:f>
        <x:v>0</x:v>
      </x:c>
      <x:c r="G11" t="n">
        <x:f>SUM(R94:R102)</x:f>
        <x:v>0</x:v>
      </x:c>
    </x:row>
    <x:row r="12" ht="15" hidden="0" customHeight="1">
      <x:c r="A12" t="n">
        <x:v>8</x:v>
      </x:c>
      <x:c r="B12" t="str">
        <x:v>Drywall</x:v>
      </x:c>
      <x:c r="C12" t="n">
        <x:v>20</x:v>
      </x:c>
      <x:c r="D12" t="n">
        <x:f>(G104+$P$2)/2</x:f>
        <x:v>0</x:v>
      </x:c>
      <x:c r="E12" t="n">
        <x:f>SUM(O106:O111)</x:f>
        <x:v>0</x:v>
      </x:c>
      <x:c r="F12" t="n">
        <x:f>SUM(P106:P111)</x:f>
        <x:v>0</x:v>
      </x:c>
      <x:c r="G12" t="n">
        <x:f>SUM(R106:R111)</x:f>
        <x:v>0</x:v>
      </x:c>
    </x:row>
    <x:row r="13" ht="15" hidden="0" customHeight="1">
      <x:c r="A13" t="n">
        <x:v>9</x:v>
      </x:c>
      <x:c r="B13" t="str">
        <x:v>Mud &amp; Tape</x:v>
      </x:c>
      <x:c r="C13" t="n">
        <x:v>20</x:v>
      </x:c>
      <x:c r="D13" t="n">
        <x:f>(G113+$P$2)/2</x:f>
        <x:v>0</x:v>
      </x:c>
      <x:c r="E13" t="n">
        <x:f>SUM(O115:O118)</x:f>
        <x:v>0</x:v>
      </x:c>
      <x:c r="F13" t="n">
        <x:f>SUM(P115:P118)</x:f>
        <x:v>0</x:v>
      </x:c>
      <x:c r="G13" t="n">
        <x:f>SUM(R115:R118)</x:f>
        <x:v>0</x:v>
      </x:c>
    </x:row>
    <x:row r="14" ht="15" hidden="0" customHeight="1">
      <x:c r="A14" t="n">
        <x:v>10</x:v>
      </x:c>
      <x:c r="B14" t="str">
        <x:v>Paint</x:v>
      </x:c>
      <x:c r="C14" t="n">
        <x:v>20</x:v>
      </x:c>
      <x:c r="D14" t="n">
        <x:f>(G120+$P$2)/2</x:f>
        <x:v>0</x:v>
      </x:c>
      <x:c r="E14" t="n">
        <x:f>SUM(O122:O131)</x:f>
        <x:v>0</x:v>
      </x:c>
      <x:c r="F14" t="n">
        <x:f>SUM(P122:P131)</x:f>
        <x:v>0</x:v>
      </x:c>
      <x:c r="G14" t="n">
        <x:f>SUM(R122:R128)</x:f>
        <x:v>0</x:v>
      </x:c>
    </x:row>
    <x:row r="15" ht="15" hidden="0" customHeight="1">
      <x:c r="A15" t="n">
        <x:v>11</x:v>
      </x:c>
      <x:c r="B15" t="str">
        <x:v>Finishing</x:v>
      </x:c>
      <x:c r="C15" t="n">
        <x:v>20</x:v>
      </x:c>
      <x:c r="D15" t="n">
        <x:f>(G133+$P$2)/2</x:f>
        <x:v>0</x:v>
      </x:c>
      <x:c r="E15" t="n">
        <x:f>SUM(O135:O140)</x:f>
        <x:v>0</x:v>
      </x:c>
      <x:c r="F15" t="n">
        <x:f>SUM(P135:P140)</x:f>
        <x:v>0</x:v>
      </x:c>
      <x:c r="G15" t="n">
        <x:f>SUM(R135:R140)</x:f>
        <x:v>0</x:v>
      </x:c>
    </x:row>
    <x:row r="16" ht="15" hidden="0" customHeight="1">
      <x:c r="A16" t="n">
        <x:v>12</x:v>
      </x:c>
      <x:c r="B16" t="str">
        <x:v>Cabinets</x:v>
      </x:c>
      <x:c r="C16" t="n">
        <x:v>10</x:v>
      </x:c>
      <x:c r="D16" t="n">
        <x:f>(G142+$P$2)/2</x:f>
        <x:v>0</x:v>
      </x:c>
      <x:c r="E16" t="n">
        <x:f>SUM(O144:O148)</x:f>
        <x:v>0</x:v>
      </x:c>
      <x:c r="F16" t="n">
        <x:f>SUM(P144:P148)</x:f>
        <x:v>0</x:v>
      </x:c>
      <x:c r="G16" t="n">
        <x:f>SUM(R144:R148)</x:f>
        <x:v>0</x:v>
      </x:c>
    </x:row>
    <x:row r="17" ht="15" hidden="0" customHeight="1">
      <x:c r="A17" t="n">
        <x:v>13</x:v>
      </x:c>
      <x:c r="B17" t="str">
        <x:v>Flooring</x:v>
      </x:c>
      <x:c r="C17" t="n">
        <x:v>20</x:v>
      </x:c>
      <x:c r="D17" t="n">
        <x:f>(G150+$P$2)/2</x:f>
        <x:v>0</x:v>
      </x:c>
      <x:c r="E17" t="n">
        <x:f>SUM(O152:O159)</x:f>
        <x:v>0</x:v>
      </x:c>
      <x:c r="F17" t="n">
        <x:f>SUM(P152:P159)</x:f>
        <x:v>0</x:v>
      </x:c>
      <x:c r="G17" t="n">
        <x:f>SUM(R152:R159)</x:f>
        <x:v>0</x:v>
      </x:c>
    </x:row>
    <x:row r="18" ht="15" hidden="0" customHeight="1">
      <x:c r="A18" t="n">
        <x:v>14</x:v>
      </x:c>
      <x:c r="B18" t="str">
        <x:v>Custom Work</x:v>
      </x:c>
      <x:c r="C18" t="n">
        <x:v>30</x:v>
      </x:c>
      <x:c r="D18" t="n">
        <x:f>(G161+$P$2)/2</x:f>
        <x:v>0</x:v>
      </x:c>
      <x:c r="E18" t="n">
        <x:f>SUM(O163:O177)</x:f>
        <x:v>0</x:v>
      </x:c>
      <x:c r="F18" t="n">
        <x:f>SUM(P163:P177)</x:f>
        <x:v>0</x:v>
      </x:c>
      <x:c r="G18" t="n">
        <x:f>SUM(R163:R177)</x:f>
        <x:v>0</x:v>
      </x:c>
    </x:row>
    <x:row r="19" ht="15" hidden="0" customHeight="1">
      <x:c r="A19" t="n">
        <x:v>15</x:v>
      </x:c>
      <x:c r="B19" t="str">
        <x:v>Miscellaneous</x:v>
      </x:c>
      <x:c r="C19" t="n">
        <x:v>20</x:v>
      </x:c>
      <x:c r="D19" t="n">
        <x:f>(G179+$P$2)/2</x:f>
        <x:v>0</x:v>
      </x:c>
      <x:c r="E19" t="n">
        <x:f>SUM(O181:O190)</x:f>
        <x:v>0</x:v>
      </x:c>
      <x:c r="F19" t="n">
        <x:f>SUM(P181:P190)</x:f>
        <x:v>0</x:v>
      </x:c>
      <x:c r="G19" t="n">
        <x:f>SUM(R181:R190)</x:f>
        <x:v>0</x:v>
      </x:c>
    </x:row>
    <x:row r="20" ht="15" hidden="0" customHeight="1">
      <x:c r="A20" t="n">
        <x:v>16</x:v>
      </x:c>
      <x:c r="B20" t="str">
        <x:v>Project Costs</x:v>
      </x:c>
      <x:c r="C20" t="n">
        <x:v>0</x:v>
      </x:c>
      <x:c r="D20" t="n">
        <x:f>(G192+$P$2)/2</x:f>
        <x:v>0</x:v>
      </x:c>
      <x:c r="E20" t="n">
        <x:f>SUM(O194:O209)</x:f>
        <x:v>0</x:v>
      </x:c>
      <x:c r="F20" t="n">
        <x:f>SUM(P194:P209)</x:f>
        <x:v>0</x:v>
      </x:c>
      <x:c r="G20" t="n">
        <x:f>SUM(R194:R209)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d88e3a780041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10.09000015258789" hidden="0" customWidth="1"/>
    <x:col min="3" max="3" width="11.4399995803833" hidden="0" customWidth="1"/>
    <x:col min="4" max="4" width="11.4399995803833" hidden="0" customWidth="1"/>
    <x:col min="5" max="5" width="39.70000076293945" hidden="0" customWidth="1"/>
    <x:col min="6" max="6" width="55.849998474121094" hidden="0" customWidth="1"/>
    <x:col min="7" max="7" width="16.81999969482422" hidden="0" customWidth="1"/>
    <x:col min="8" max="8" width="14.130000114440918" hidden="0" customWidth="1"/>
    <x:col min="9" max="9" width="16.81999969482422" hidden="0" customWidth="1"/>
    <x:col min="10" max="10" width="19.520000457763672" hidden="0" customWidth="1"/>
    <x:col min="11" max="11" width="23.549999237060547" hidden="0" customWidth="1"/>
    <x:col min="12" max="12" width="18.170000076293945" hidden="0" customWidth="1"/>
    <x:col min="13" max="13" width="18.170000076293945" hidden="0" customWidth="1"/>
    <x:col min="14" max="14" width="18.170000076293945" hidden="0" customWidth="1"/>
    <x:col min="15" max="15" width="18.170000076293945" hidden="0" customWidth="1"/>
  </x:cols>
  <x:sheetData>
    <x:row r="1" ht="21.600000381469727" hidden="0" customHeight="1">
      <x:c r="A1" s="1" t="str">
        <x:v>Estimate Line Item Library</x:v>
      </x:c>
    </x:row>
    <x:row r="2" ht="15" hidden="0" customHeight="1">
      <x:c r="A2" s="2" t="str">
        <x:v>Default RTM line items extracted from the current estimating sheet.</x:v>
      </x:c>
    </x:row>
    <x:row r="3"/>
    <x:row r="4" ht="15" hidden="0" customHeight="1">
      <x:c r="A4" s="5" t="str">
        <x:v>Section</x:v>
      </x:c>
      <x:c r="B4" s="5" t="str">
        <x:v>Source Row</x:v>
      </x:c>
      <x:c r="C4" s="5" t="str">
        <x:v>Cost Code</x:v>
      </x:c>
      <x:c r="D4" s="5" t="str">
        <x:v>Category</x:v>
      </x:c>
      <x:c r="E4" s="5" t="str">
        <x:v>Description</x:v>
      </x:c>
      <x:c r="F4" s="5" t="str">
        <x:v>Pricing Note</x:v>
      </x:c>
      <x:c r="G4" s="5" t="str">
        <x:v>Default Quantity</x:v>
      </x:c>
      <x:c r="H4" s="5" t="str">
        <x:v>Unit</x:v>
      </x:c>
      <x:c r="I4" s="5" t="str">
        <x:v>Default Unit Cost</x:v>
      </x:c>
      <x:c r="J4" s="5" t="str">
        <x:v>Cost Formula</x:v>
      </x:c>
      <x:c r="K4" s="5" t="str">
        <x:v>Retail Formula</x:v>
      </x:c>
      <x:c r="L4" s="5" t="str">
        <x:v>PST Taxable</x:v>
      </x:c>
      <x:c r="M4" s="5" t="str">
        <x:v>GST Taxable</x:v>
      </x:c>
      <x:c r="N4" s="5" t="str">
        <x:v>Customer Visible</x:v>
      </x:c>
      <x:c r="O4" s="5" t="str">
        <x:v>Optional</x:v>
      </x:c>
    </x:row>
    <x:row r="5" ht="15" hidden="0" customHeight="1">
      <x:c r="A5" t="str">
        <x:v>Project Materials</x:v>
      </x:c>
      <x:c r="B5" t="n">
        <x:v>9</x:v>
      </x:c>
      <x:c r="C5" t="str">
        <x:v>06</x:v>
      </x:c>
      <x:c r="D5" t="str">
        <x:v>RTM/  House</x:v>
      </x:c>
      <x:c r="E5" t="str">
        <x:v>Standard House Material Package</x:v>
      </x:c>
      <x:c r="F5" t="str">
        <x:v>($52 - $58 Per Sq/Ft)</x:v>
      </x:c>
      <x:c r="G5" t="e">
        <x:f>Floor_SqFt</x:f>
      </x:c>
      <x:c r="H5" t="str">
        <x:v>Floor Sq/Ft</x:v>
      </x:c>
      <x:c r="I5" t="n">
        <x:v>42</x:v>
      </x:c>
      <x:c r="J5" t="e">
        <x:f>L9*N9</x:f>
      </x:c>
      <x:c r="K5" t="e">
        <x:f>O9/(1-($E$7/100))</x:f>
      </x:c>
      <x:c r="L5" t="str">
        <x:v>Yes</x:v>
      </x:c>
      <x:c r="M5" t="str">
        <x:v>Yes</x:v>
      </x:c>
      <x:c r="N5" t="str">
        <x:v>Yes</x:v>
      </x:c>
      <x:c r="O5" t="str">
        <x:v>No</x:v>
      </x:c>
    </x:row>
    <x:row r="6" ht="15" hidden="0" customHeight="1">
      <x:c r="A6" t="str">
        <x:v>Project Materials</x:v>
      </x:c>
      <x:c r="B6" t="n">
        <x:v>10</x:v>
      </x:c>
      <x:c r="C6" t="str">
        <x:v>06</x:v>
      </x:c>
      <x:c r="D6"/>
      <x:c r="E6" t="str">
        <x:v>Floors</x:v>
      </x:c>
      <x:c r="F6"/>
      <x:c r="G6"/>
      <x:c r="H6" t="str">
        <x:v>Package</x:v>
      </x:c>
      <x:c r="I6"/>
      <x:c r="J6" t="e">
        <x:f>L10*N10</x:f>
      </x:c>
      <x:c r="K6" t="e">
        <x:f>O10/(1-($E$7/100))</x:f>
      </x:c>
      <x:c r="L6" t="str">
        <x:v>Yes</x:v>
      </x:c>
      <x:c r="M6" t="str">
        <x:v>Yes</x:v>
      </x:c>
      <x:c r="N6" t="str">
        <x:v>Yes</x:v>
      </x:c>
      <x:c r="O6" t="str">
        <x:v>No</x:v>
      </x:c>
    </x:row>
    <x:row r="7" ht="15" hidden="0" customHeight="1">
      <x:c r="A7" t="str">
        <x:v>Project Materials</x:v>
      </x:c>
      <x:c r="B7" t="n">
        <x:v>11</x:v>
      </x:c>
      <x:c r="C7" t="str">
        <x:v>06</x:v>
      </x:c>
      <x:c r="D7"/>
      <x:c r="E7" t="str">
        <x:v>Trusses</x:v>
      </x:c>
      <x:c r="F7"/>
      <x:c r="G7"/>
      <x:c r="H7" t="str">
        <x:v>Package</x:v>
      </x:c>
      <x:c r="I7" t="n">
        <x:v>4</x:v>
      </x:c>
      <x:c r="J7" t="e">
        <x:f>L11*N11</x:f>
      </x:c>
      <x:c r="K7" t="e">
        <x:f>O11/(1-($E$7/100))</x:f>
      </x:c>
      <x:c r="L7" t="str">
        <x:v>Yes</x:v>
      </x:c>
      <x:c r="M7" t="str">
        <x:v>Yes</x:v>
      </x:c>
      <x:c r="N7" t="str">
        <x:v>Yes</x:v>
      </x:c>
      <x:c r="O7" t="str">
        <x:v>No</x:v>
      </x:c>
    </x:row>
    <x:row r="8" ht="15" hidden="0" customHeight="1">
      <x:c r="A8" t="str">
        <x:v>Project Materials</x:v>
      </x:c>
      <x:c r="B8" t="n">
        <x:v>12</x:v>
      </x:c>
      <x:c r="C8" t="str">
        <x:v>08</x:v>
      </x:c>
      <x:c r="D8"/>
      <x:c r="E8" t="str">
        <x:v>Windows  </x:v>
      </x:c>
      <x:c r="F8" t="str">
        <x:v>Enter Data In Window Table</x:v>
      </x:c>
      <x:c r="G8" t="n">
        <x:v>1</x:v>
      </x:c>
      <x:c r="H8" t="str">
        <x:v>Package</x:v>
      </x:c>
      <x:c r="I8" t="n">
        <x:f>U10*V10+U11*V11+U12*V12+U13*V13</x:f>
        <x:v>0</x:v>
      </x:c>
      <x:c r="J8" t="e">
        <x:f>L12*N12</x:f>
      </x:c>
      <x:c r="K8" t="e">
        <x:f>O12/(1-($E$7/100))</x:f>
      </x:c>
      <x:c r="L8" t="str">
        <x:v>Yes</x:v>
      </x:c>
      <x:c r="M8" t="str">
        <x:v>Yes</x:v>
      </x:c>
      <x:c r="N8" t="str">
        <x:v>Yes</x:v>
      </x:c>
      <x:c r="O8" t="str">
        <x:v>No</x:v>
      </x:c>
    </x:row>
    <x:row r="9" ht="15" hidden="0" customHeight="1">
      <x:c r="A9" t="str">
        <x:v>Project Materials</x:v>
      </x:c>
      <x:c r="B9" t="n">
        <x:v>13</x:v>
      </x:c>
      <x:c r="C9" t="str">
        <x:v>06</x:v>
      </x:c>
      <x:c r="D9"/>
      <x:c r="E9" t="str">
        <x:v>Doors</x:v>
      </x:c>
      <x:c r="F9" t="str">
        <x:v>Enter Date in Door Table</x:v>
      </x:c>
      <x:c r="G9" t="n">
        <x:v>1</x:v>
      </x:c>
      <x:c r="H9" t="str">
        <x:v>Package</x:v>
      </x:c>
      <x:c r="I9" t="n">
        <x:f>U18*V18+U19*V19+U20*V20+U21*V21+U22*V22+U23*V23+U25*V25+U26*V26+U27*V27+U28*V28+U29*V29</x:f>
        <x:v>0</x:v>
      </x:c>
      <x:c r="J9" t="e">
        <x:f>L13*N13</x:f>
      </x:c>
      <x:c r="K9" t="e">
        <x:f>O13/(1-($E$7/100))</x:f>
      </x:c>
      <x:c r="L9" t="str">
        <x:v>Yes</x:v>
      </x:c>
      <x:c r="M9" t="str">
        <x:v>Yes</x:v>
      </x:c>
      <x:c r="N9" t="str">
        <x:v>Yes</x:v>
      </x:c>
      <x:c r="O9" t="str">
        <x:v>No</x:v>
      </x:c>
    </x:row>
    <x:row r="10" ht="15" hidden="0" customHeight="1">
      <x:c r="A10" t="str">
        <x:v>Project Materials</x:v>
      </x:c>
      <x:c r="B10" t="n">
        <x:v>14</x:v>
      </x:c>
      <x:c r="C10" t="str">
        <x:v>07</x:v>
      </x:c>
      <x:c r="D10"/>
      <x:c r="E10" t="str">
        <x:v>Windows Colors Upgrades</x:v>
      </x:c>
      <x:c r="F10" t="str">
        <x:v>Enter Percentage - See Note</x:v>
      </x:c>
      <x:c r="G10" t="n">
        <x:v>0.15</x:v>
      </x:c>
      <x:c r="H10" t="str">
        <x:v>Package</x:v>
      </x:c>
      <x:c r="I10"/>
      <x:c r="J10" t="e">
        <x:f>L14*N14</x:f>
      </x:c>
      <x:c r="K10" t="e">
        <x:f>O14/(1-($E$7/100))</x:f>
      </x:c>
      <x:c r="L10" t="str">
        <x:v>Yes</x:v>
      </x:c>
      <x:c r="M10" t="str">
        <x:v>Yes</x:v>
      </x:c>
      <x:c r="N10" t="str">
        <x:v>Yes</x:v>
      </x:c>
      <x:c r="O10" t="str">
        <x:v>No</x:v>
      </x:c>
    </x:row>
    <x:row r="11" ht="15" hidden="0" customHeight="1">
      <x:c r="A11" t="str">
        <x:v>Project Materials</x:v>
      </x:c>
      <x:c r="B11" t="n">
        <x:v>15</x:v>
      </x:c>
      <x:c r="C11" t="str">
        <x:v>07</x:v>
      </x:c>
      <x:c r="D11"/>
      <x:c r="E11" t="str">
        <x:v>Tall Walls</x:v>
      </x:c>
      <x:c r="F11" t="str">
        <x:v>(9' = Add $2, 10' = Add $4)</x:v>
      </x:c>
      <x:c r="G11" t="n">
        <x:v>0</x:v>
      </x:c>
      <x:c r="H11" t="str">
        <x:v>Floor Sq/Ft</x:v>
      </x:c>
      <x:c r="I11" t="n">
        <x:v>2</x:v>
      </x:c>
      <x:c r="J11" t="e">
        <x:f>L15*N15</x:f>
      </x:c>
      <x:c r="K11" t="e">
        <x:f>O15/(1-($E$7/100))</x:f>
      </x:c>
      <x:c r="L11" t="str">
        <x:v>Yes</x:v>
      </x:c>
      <x:c r="M11" t="str">
        <x:v>Yes</x:v>
      </x:c>
      <x:c r="N11" t="str">
        <x:v>Yes</x:v>
      </x:c>
      <x:c r="O11" t="str">
        <x:v>No</x:v>
      </x:c>
    </x:row>
    <x:row r="12" ht="15" hidden="0" customHeight="1">
      <x:c r="A12" t="str">
        <x:v>Project Materials</x:v>
      </x:c>
      <x:c r="B12" t="n">
        <x:v>16</x:v>
      </x:c>
      <x:c r="C12" t="str">
        <x:v>07</x:v>
      </x:c>
      <x:c r="D12"/>
      <x:c r="E12" t="str">
        <x:v>Metal Roof Upgrade                                   </x:v>
      </x:c>
      <x:c r="F12" t="str">
        <x:v>*Includes 1/2" Fir Upgrade (Tuff-Rib = $2, Snaplock = $4)</x:v>
      </x:c>
      <x:c r="G12"/>
      <x:c r="H12" t="str">
        <x:v>Floor Sq/Ft</x:v>
      </x:c>
      <x:c r="I12" t="n">
        <x:v>4</x:v>
      </x:c>
      <x:c r="J12" t="e">
        <x:f>L16*N16</x:f>
      </x:c>
      <x:c r="K12" t="e">
        <x:f>O16/(1-($E$7/100))</x:f>
      </x:c>
      <x:c r="L12" t="str">
        <x:v>Yes</x:v>
      </x:c>
      <x:c r="M12" t="str">
        <x:v>Yes</x:v>
      </x:c>
      <x:c r="N12" t="str">
        <x:v>Yes</x:v>
      </x:c>
      <x:c r="O12" t="str">
        <x:v>No</x:v>
      </x:c>
    </x:row>
    <x:row r="13" ht="15" hidden="0" customHeight="1">
      <x:c r="A13" t="str">
        <x:v>Project Materials</x:v>
      </x:c>
      <x:c r="B13" t="n">
        <x:v>17</x:v>
      </x:c>
      <x:c r="C13" t="str">
        <x:v>07</x:v>
      </x:c>
      <x:c r="D13"/>
      <x:c r="E13" t="str">
        <x:v>Upgraded Shingles</x:v>
      </x:c>
      <x:c r="F13" t="str">
        <x:v>($10-$20/ Bundle Upgrade)</x:v>
      </x:c>
      <x:c r="G13"/>
      <x:c r="H13" t="str">
        <x:v>Bundle</x:v>
      </x:c>
      <x:c r="I13" t="n">
        <x:v>15</x:v>
      </x:c>
      <x:c r="J13" t="e">
        <x:f>L17*N17</x:f>
      </x:c>
      <x:c r="K13" t="e">
        <x:f>O17/(1-($E$7/100))</x:f>
      </x:c>
      <x:c r="L13" t="str">
        <x:v>Yes</x:v>
      </x:c>
      <x:c r="M13" t="str">
        <x:v>Yes</x:v>
      </x:c>
      <x:c r="N13" t="str">
        <x:v>Yes</x:v>
      </x:c>
      <x:c r="O13" t="str">
        <x:v>No</x:v>
      </x:c>
    </x:row>
    <x:row r="14" ht="15" hidden="0" customHeight="1">
      <x:c r="A14" t="str">
        <x:v>Project Materials</x:v>
      </x:c>
      <x:c r="B14" t="n">
        <x:v>18</x:v>
      </x:c>
      <x:c r="C14" t="str">
        <x:v>08</x:v>
      </x:c>
      <x:c r="D14"/>
      <x:c r="E14" t="str">
        <x:v>Upgraded Siding</x:v>
      </x:c>
      <x:c r="F14" t="str">
        <x:v>(Hardie = $4, Canexel/Smartside = $5)</x:v>
      </x:c>
      <x:c r="G14" t="n">
        <x:v>0</x:v>
      </x:c>
      <x:c r="H14" t="str">
        <x:v>Wall Sq/Ft</x:v>
      </x:c>
      <x:c r="I14" t="n">
        <x:v>4</x:v>
      </x:c>
      <x:c r="J14" t="e">
        <x:f>L18*N18</x:f>
      </x:c>
      <x:c r="K14" t="e">
        <x:f>O18/(1-($E$7/100))</x:f>
      </x:c>
      <x:c r="L14" t="str">
        <x:v>Yes</x:v>
      </x:c>
      <x:c r="M14" t="str">
        <x:v>Yes</x:v>
      </x:c>
      <x:c r="N14" t="str">
        <x:v>Yes</x:v>
      </x:c>
      <x:c r="O14" t="str">
        <x:v>No</x:v>
      </x:c>
    </x:row>
    <x:row r="15" ht="15" hidden="0" customHeight="1">
      <x:c r="A15" t="str">
        <x:v>Project Materials</x:v>
      </x:c>
      <x:c r="B15" t="n">
        <x:v>19</x:v>
      </x:c>
      <x:c r="C15" t="str">
        <x:v>08</x:v>
      </x:c>
      <x:c r="D15" t="str">
        <x:f>"$"&amp;W21&amp;"/SqFt"&amp;"    Cost"</x:f>
        <x:v>$/SqFt    Cost</x:v>
      </x:c>
      <x:c r="E15" t="str">
        <x:v>Board &amp; Baton</x:v>
      </x:c>
      <x:c r="F15"/>
      <x:c r="G15" t="n">
        <x:v>0</x:v>
      </x:c>
      <x:c r="H15" t="str">
        <x:v>Wall Sq/Ft</x:v>
      </x:c>
      <x:c r="I15" t="n">
        <x:v>5</x:v>
      </x:c>
      <x:c r="J15" t="e">
        <x:f>L19*N19</x:f>
      </x:c>
      <x:c r="K15" t="e">
        <x:f>O19/(1-($E$7/100))</x:f>
      </x:c>
      <x:c r="L15" t="str">
        <x:v>Yes</x:v>
      </x:c>
      <x:c r="M15" t="str">
        <x:v>Yes</x:v>
      </x:c>
      <x:c r="N15" t="str">
        <x:v>Yes</x:v>
      </x:c>
      <x:c r="O15" t="str">
        <x:v>No</x:v>
      </x:c>
    </x:row>
    <x:row r="16" ht="15" hidden="0" customHeight="1">
      <x:c r="A16" t="str">
        <x:v>Project Materials</x:v>
      </x:c>
      <x:c r="B16" t="n">
        <x:v>20</x:v>
      </x:c>
      <x:c r="C16" t="str">
        <x:v>06</x:v>
      </x:c>
      <x:c r="D16"/>
      <x:c r="E16" t="str">
        <x:v>Deck Framing Materials (DNI Stairs)</x:v>
      </x:c>
      <x:c r="F16" t="str">
        <x:v>Covered Deck = $25 - $30, Standard Deck = $5 - $8</x:v>
      </x:c>
      <x:c r="G16" t="n">
        <x:v>0</x:v>
      </x:c>
      <x:c r="H16" t="str">
        <x:v>Floor Sq/Ft</x:v>
      </x:c>
      <x:c r="I16" t="n">
        <x:v>25</x:v>
      </x:c>
      <x:c r="J16" t="e">
        <x:f>L20*N20</x:f>
      </x:c>
      <x:c r="K16" t="e">
        <x:f>O20/(1-($E$7/100))</x:f>
      </x:c>
      <x:c r="L16" t="str">
        <x:v>Yes</x:v>
      </x:c>
      <x:c r="M16" t="str">
        <x:v>Yes</x:v>
      </x:c>
      <x:c r="N16" t="str">
        <x:v>Yes</x:v>
      </x:c>
      <x:c r="O16" t="str">
        <x:v>No</x:v>
      </x:c>
    </x:row>
    <x:row r="17" ht="15" hidden="0" customHeight="1">
      <x:c r="A17" t="str">
        <x:v>Project Materials</x:v>
      </x:c>
      <x:c r="B17" t="n">
        <x:v>21</x:v>
      </x:c>
      <x:c r="C17" t="str">
        <x:v>06</x:v>
      </x:c>
      <x:c r="D17"/>
      <x:c r="E17" t="str">
        <x:v>Decking Materials                              </x:v>
      </x:c>
      <x:c r="F17" t="str">
        <x:v>ACQ = $4.50, Composite = $18.75, Fir Select = $5</x:v>
      </x:c>
      <x:c r="G17" t="n">
        <x:v>0</x:v>
      </x:c>
      <x:c r="H17" t="str">
        <x:v>Floor Sq/Ft</x:v>
      </x:c>
      <x:c r="I17" t="n">
        <x:v>4.5</x:v>
      </x:c>
      <x:c r="J17" t="e">
        <x:f>L21*N21</x:f>
      </x:c>
      <x:c r="K17" t="e">
        <x:f>O21/(1-($E$7/100))</x:f>
      </x:c>
      <x:c r="L17" t="str">
        <x:v>Yes</x:v>
      </x:c>
      <x:c r="M17" t="str">
        <x:v>Yes</x:v>
      </x:c>
      <x:c r="N17" t="str">
        <x:v>Yes</x:v>
      </x:c>
      <x:c r="O17" t="str">
        <x:v>No</x:v>
      </x:c>
    </x:row>
    <x:row r="18" ht="15" hidden="0" customHeight="1">
      <x:c r="A18" t="str">
        <x:v>Project Materials</x:v>
      </x:c>
      <x:c r="B18" t="n">
        <x:v>22</x:v>
      </x:c>
      <x:c r="C18" t="str">
        <x:v>06</x:v>
      </x:c>
      <x:c r="D18"/>
      <x:c r="E18" t="str">
        <x:v>Deck Railing</x:v>
      </x:c>
      <x:c r="F18" t="str">
        <x:v>Regal, Add $30 Per LF For Std Glass</x:v>
      </x:c>
      <x:c r="G18"/>
      <x:c r="H18" t="str">
        <x:v>Ln/Ft</x:v>
      </x:c>
      <x:c r="I18" t="n">
        <x:v>65</x:v>
      </x:c>
      <x:c r="J18" t="e">
        <x:f>L22*N22</x:f>
      </x:c>
      <x:c r="K18" t="e">
        <x:f>O22/(1-($E$7/100))</x:f>
      </x:c>
      <x:c r="L18" t="str">
        <x:v>Yes</x:v>
      </x:c>
      <x:c r="M18" t="str">
        <x:v>Yes</x:v>
      </x:c>
      <x:c r="N18" t="str">
        <x:v>Yes</x:v>
      </x:c>
      <x:c r="O18" t="str">
        <x:v>No</x:v>
      </x:c>
    </x:row>
    <x:row r="19" ht="15" hidden="0" customHeight="1">
      <x:c r="A19" t="str">
        <x:v>Project Materials</x:v>
      </x:c>
      <x:c r="B19" t="n">
        <x:v>23</x:v>
      </x:c>
      <x:c r="C19" t="str">
        <x:v>09</x:v>
      </x:c>
      <x:c r="D19"/>
      <x:c r="E19" t="str">
        <x:v>Pine Ceiling</x:v>
      </x:c>
      <x:c r="F19" t="str">
        <x:v>(Knotty = $2.75, Primed = $4.25)</x:v>
      </x:c>
      <x:c r="G19"/>
      <x:c r="H19" t="str">
        <x:v>Sq/Ft</x:v>
      </x:c>
      <x:c r="I19" t="n">
        <x:v>2.75</x:v>
      </x:c>
      <x:c r="J19" t="e">
        <x:f>L23*N23</x:f>
      </x:c>
      <x:c r="K19" t="e">
        <x:f>O23/(1-($E$7/100))</x:f>
      </x:c>
      <x:c r="L19" t="str">
        <x:v>Yes</x:v>
      </x:c>
      <x:c r="M19" t="str">
        <x:v>Yes</x:v>
      </x:c>
      <x:c r="N19" t="str">
        <x:v>Yes</x:v>
      </x:c>
      <x:c r="O19" t="str">
        <x:v>No</x:v>
      </x:c>
    </x:row>
    <x:row r="20" ht="15" hidden="0" customHeight="1">
      <x:c r="A20" t="str">
        <x:v>Project Materials</x:v>
      </x:c>
      <x:c r="B20" t="n">
        <x:v>24</x:v>
      </x:c>
      <x:c r="C20" t="str">
        <x:v>07</x:v>
      </x:c>
      <x:c r="D20"/>
      <x:c r="E20" t="str">
        <x:v>Cedar Shakes</x:v>
      </x:c>
      <x:c r="F20"/>
      <x:c r="G20"/>
      <x:c r="H20" t="str">
        <x:v>Wall Sq/Ft</x:v>
      </x:c>
      <x:c r="I20" t="n">
        <x:v>5</x:v>
      </x:c>
      <x:c r="J20" t="e">
        <x:f>L24*N24</x:f>
      </x:c>
      <x:c r="K20" t="e">
        <x:f>O24/(1-($E$7/100))</x:f>
      </x:c>
      <x:c r="L20" t="str">
        <x:v>Yes</x:v>
      </x:c>
      <x:c r="M20" t="str">
        <x:v>Yes</x:v>
      </x:c>
      <x:c r="N20" t="str">
        <x:v>Yes</x:v>
      </x:c>
      <x:c r="O20" t="str">
        <x:v>No</x:v>
      </x:c>
    </x:row>
    <x:row r="21" ht="15" hidden="0" customHeight="1">
      <x:c r="A21" t="str">
        <x:v>Project Materials</x:v>
      </x:c>
      <x:c r="B21" t="n">
        <x:v>25</x:v>
      </x:c>
      <x:c r="C21" t="str">
        <x:v>06</x:v>
      </x:c>
      <x:c r="D21"/>
      <x:c r="E21" t="str">
        <x:v>RTM Stairs</x:v>
      </x:c>
      <x:c r="F21" t="str">
        <x:v>($50 - $55 Per Rise)</x:v>
      </x:c>
      <x:c r="G21" t="n">
        <x:v>0</x:v>
      </x:c>
      <x:c r="H21" t="str">
        <x:v>Per Unit</x:v>
      </x:c>
      <x:c r="I21" t="n">
        <x:v>55</x:v>
      </x:c>
      <x:c r="J21" t="e">
        <x:f>L25*N25</x:f>
      </x:c>
      <x:c r="K21" t="e">
        <x:f>O25/(1-($E$7/100))</x:f>
      </x:c>
      <x:c r="L21" t="str">
        <x:v>Yes</x:v>
      </x:c>
      <x:c r="M21" t="str">
        <x:v>Yes</x:v>
      </x:c>
      <x:c r="N21" t="str">
        <x:v>Yes</x:v>
      </x:c>
      <x:c r="O21" t="str">
        <x:v>No</x:v>
      </x:c>
    </x:row>
    <x:row r="22" ht="15" hidden="0" customHeight="1">
      <x:c r="A22" t="str">
        <x:v>Framing</x:v>
      </x:c>
      <x:c r="B22" t="n">
        <x:v>34</x:v>
      </x:c>
      <x:c r="C22" t="str">
        <x:v>06</x:v>
      </x:c>
      <x:c r="D22" t="str">
        <x:v>L</x:v>
      </x:c>
      <x:c r="E22" t="str">
        <x:v>House</x:v>
      </x:c>
      <x:c r="F22" t="str">
        <x:v>($9-$12 Per Sq/Ft)</x:v>
      </x:c>
      <x:c r="G22" t="e">
        <x:f>Floor_SqFt</x:f>
      </x:c>
      <x:c r="H22" t="str">
        <x:v>Sq/Ft</x:v>
      </x:c>
      <x:c r="I22" t="n">
        <x:v>10</x:v>
      </x:c>
      <x:c r="J22" t="e">
        <x:f>L34*N34</x:f>
      </x:c>
      <x:c r="K22" t="e">
        <x:f>O34/(1-($E$32/100))</x:f>
      </x:c>
      <x:c r="L22" t="str">
        <x:v>Yes</x:v>
      </x:c>
      <x:c r="M22" t="str">
        <x:v>Yes</x:v>
      </x:c>
      <x:c r="N22" t="str">
        <x:v>Yes</x:v>
      </x:c>
      <x:c r="O22" t="str">
        <x:v>No</x:v>
      </x:c>
    </x:row>
    <x:row r="23" ht="15" hidden="0" customHeight="1">
      <x:c r="A23" t="str">
        <x:v>Framing</x:v>
      </x:c>
      <x:c r="B23" t="n">
        <x:v>35</x:v>
      </x:c>
      <x:c r="C23" t="str">
        <x:v>06</x:v>
      </x:c>
      <x:c r="D23" t="str">
        <x:v>L</x:v>
      </x:c>
      <x:c r="E23" t="str">
        <x:v>Covered Deck (Not Including Decking)</x:v>
      </x:c>
      <x:c r="F23" t="str">
        <x:v>($5-$7 Per Sq/Ft)</x:v>
      </x:c>
      <x:c r="G23" t="n">
        <x:v>0</x:v>
      </x:c>
      <x:c r="H23" t="str">
        <x:v>Sq/Ft</x:v>
      </x:c>
      <x:c r="I23" t="n">
        <x:v>5</x:v>
      </x:c>
      <x:c r="J23" t="e">
        <x:f>L35*N35</x:f>
      </x:c>
      <x:c r="K23" t="e">
        <x:f>O35/(1-($E$32/100))</x:f>
      </x:c>
      <x:c r="L23" t="str">
        <x:v>Yes</x:v>
      </x:c>
      <x:c r="M23" t="str">
        <x:v>Yes</x:v>
      </x:c>
      <x:c r="N23" t="str">
        <x:v>Yes</x:v>
      </x:c>
      <x:c r="O23" t="str">
        <x:v>No</x:v>
      </x:c>
    </x:row>
    <x:row r="24" ht="15" hidden="0" customHeight="1">
      <x:c r="A24" t="str">
        <x:v>Framing</x:v>
      </x:c>
      <x:c r="B24" t="n">
        <x:v>36</x:v>
      </x:c>
      <x:c r="C24" t="str">
        <x:v>06</x:v>
      </x:c>
      <x:c r="D24" t="str">
        <x:v>L</x:v>
      </x:c>
      <x:c r="E24" t="str">
        <x:v>Uncovered Deck (Not Including Decking)</x:v>
      </x:c>
      <x:c r="F24" t="str">
        <x:v>($3-$5 Per Sq/Ft)</x:v>
      </x:c>
      <x:c r="G24"/>
      <x:c r="H24" t="str">
        <x:v>Sq/Ft</x:v>
      </x:c>
      <x:c r="I24" t="n">
        <x:v>4</x:v>
      </x:c>
      <x:c r="J24" t="e">
        <x:f>L36*N36</x:f>
      </x:c>
      <x:c r="K24" t="e">
        <x:f>O36/(1-($E$32/100))</x:f>
      </x:c>
      <x:c r="L24" t="str">
        <x:v>Yes</x:v>
      </x:c>
      <x:c r="M24" t="str">
        <x:v>Yes</x:v>
      </x:c>
      <x:c r="N24" t="str">
        <x:v>Yes</x:v>
      </x:c>
      <x:c r="O24" t="str">
        <x:v>No</x:v>
      </x:c>
    </x:row>
    <x:row r="25" ht="15" hidden="0" customHeight="1">
      <x:c r="A25" t="str">
        <x:v>Framing</x:v>
      </x:c>
      <x:c r="B25" t="n">
        <x:v>37</x:v>
      </x:c>
      <x:c r="C25" t="str">
        <x:v>06</x:v>
      </x:c>
      <x:c r="D25" t="str">
        <x:v>L</x:v>
      </x:c>
      <x:c r="E25" t="str">
        <x:v>Sheeting Underside Simple Homes</x:v>
      </x:c>
      <x:c r="F25"/>
      <x:c r="G25"/>
      <x:c r="H25" t="str">
        <x:v>Floor Sq/Ft</x:v>
      </x:c>
      <x:c r="I25"/>
      <x:c r="J25" t="e">
        <x:f>L37*N37</x:f>
      </x:c>
      <x:c r="K25" t="e">
        <x:f>O37/(1-($E$32/100))</x:f>
      </x:c>
      <x:c r="L25" t="str">
        <x:v>Yes</x:v>
      </x:c>
      <x:c r="M25" t="str">
        <x:v>Yes</x:v>
      </x:c>
      <x:c r="N25" t="str">
        <x:v>Yes</x:v>
      </x:c>
      <x:c r="O25" t="str">
        <x:v>No</x:v>
      </x:c>
    </x:row>
    <x:row r="26" ht="15" hidden="0" customHeight="1">
      <x:c r="A26" t="str">
        <x:v>Framing</x:v>
      </x:c>
      <x:c r="B26" t="n">
        <x:v>38</x:v>
      </x:c>
      <x:c r="C26" t="str">
        <x:v>06</x:v>
      </x:c>
      <x:c r="D26" t="str">
        <x:v>L</x:v>
      </x:c>
      <x:c r="E26" t="str">
        <x:v>Bulkhead Framing</x:v>
      </x:c>
      <x:c r="F26"/>
      <x:c r="G26"/>
      <x:c r="H26" t="str">
        <x:v>Ln/Ft</x:v>
      </x:c>
      <x:c r="I26"/>
      <x:c r="J26" t="e">
        <x:f>L38*N38</x:f>
      </x:c>
      <x:c r="K26" t="e">
        <x:f>O38/(1-($E$32/100))</x:f>
      </x:c>
      <x:c r="L26" t="str">
        <x:v>Yes</x:v>
      </x:c>
      <x:c r="M26" t="str">
        <x:v>Yes</x:v>
      </x:c>
      <x:c r="N26" t="str">
        <x:v>Yes</x:v>
      </x:c>
      <x:c r="O26" t="str">
        <x:v>No</x:v>
      </x:c>
    </x:row>
    <x:row r="27" ht="15" hidden="0" customHeight="1">
      <x:c r="A27" t="str">
        <x:v>Framing</x:v>
      </x:c>
      <x:c r="B27" t="n">
        <x:v>39</x:v>
      </x:c>
      <x:c r="C27" t="str">
        <x:v>07</x:v>
      </x:c>
      <x:c r="D27" t="str">
        <x:v>L</x:v>
      </x:c>
      <x:c r="E27" t="str">
        <x:v>Styrofoam &amp; Strapping Install</x:v>
      </x:c>
      <x:c r="F27"/>
      <x:c r="G27"/>
      <x:c r="H27"/>
      <x:c r="I27"/>
      <x:c r="J27" t="e">
        <x:f>L39*N39</x:f>
      </x:c>
      <x:c r="K27" t="e">
        <x:f>O39/(1-($E$32/100))</x:f>
      </x:c>
      <x:c r="L27" t="str">
        <x:v>Yes</x:v>
      </x:c>
      <x:c r="M27" t="str">
        <x:v>Yes</x:v>
      </x:c>
      <x:c r="N27" t="str">
        <x:v>Yes</x:v>
      </x:c>
      <x:c r="O27" t="str">
        <x:v>No</x:v>
      </x:c>
    </x:row>
    <x:row r="28" ht="15" hidden="0" customHeight="1">
      <x:c r="A28" t="str">
        <x:v>Roofing</x:v>
      </x:c>
      <x:c r="B28" t="n">
        <x:v>46</x:v>
      </x:c>
      <x:c r="C28" t="str">
        <x:v>07</x:v>
      </x:c>
      <x:c r="D28" t="str">
        <x:v>L</x:v>
      </x:c>
      <x:c r="E28" t="str">
        <x:v>Fiberglass Shingles</x:v>
      </x:c>
      <x:c r="F28" t="str">
        <x:v>($35-50 Per Bundle, Depending On Pitch And Height)</x:v>
      </x:c>
      <x:c r="G28" t="n">
        <x:v>0</x:v>
      </x:c>
      <x:c r="H28" t="str">
        <x:v>Bundle</x:v>
      </x:c>
      <x:c r="I28" t="n">
        <x:v>40</x:v>
      </x:c>
      <x:c r="J28" t="e">
        <x:f>L46*N46</x:f>
      </x:c>
      <x:c r="K28" t="e">
        <x:f>O46/(1-($E$44/100))</x:f>
      </x:c>
      <x:c r="L28" t="str">
        <x:v>Yes</x:v>
      </x:c>
      <x:c r="M28" t="str">
        <x:v>Yes</x:v>
      </x:c>
      <x:c r="N28" t="str">
        <x:v>Yes</x:v>
      </x:c>
      <x:c r="O28" t="str">
        <x:v>No</x:v>
      </x:c>
    </x:row>
    <x:row r="29" ht="15" hidden="0" customHeight="1">
      <x:c r="A29" t="str">
        <x:v>Roofing</x:v>
      </x:c>
      <x:c r="B29" t="n">
        <x:v>47</x:v>
      </x:c>
      <x:c r="C29" t="str">
        <x:v>07</x:v>
      </x:c>
      <x:c r="D29" t="str">
        <x:v>L</x:v>
      </x:c>
      <x:c r="E29" t="str">
        <x:v>Tuff Rib Metal</x:v>
      </x:c>
      <x:c r="F29" t="str">
        <x:v>($2 - $4.50 Per Sq/Ft, Depending On Pitch And Height)</x:v>
      </x:c>
      <x:c r="G29"/>
      <x:c r="H29" t="str">
        <x:v>Sq/Ft</x:v>
      </x:c>
      <x:c r="I29" t="n">
        <x:v>3</x:v>
      </x:c>
      <x:c r="J29" t="e">
        <x:f>L47*N47</x:f>
      </x:c>
      <x:c r="K29" t="e">
        <x:f>O47/(1-($E$44/100))</x:f>
      </x:c>
      <x:c r="L29" t="str">
        <x:v>Yes</x:v>
      </x:c>
      <x:c r="M29" t="str">
        <x:v>Yes</x:v>
      </x:c>
      <x:c r="N29" t="str">
        <x:v>Yes</x:v>
      </x:c>
      <x:c r="O29" t="str">
        <x:v>No</x:v>
      </x:c>
    </x:row>
    <x:row r="30" ht="15" hidden="0" customHeight="1">
      <x:c r="A30" t="str">
        <x:v>Roofing</x:v>
      </x:c>
      <x:c r="B30" t="n">
        <x:v>48</x:v>
      </x:c>
      <x:c r="C30" t="str">
        <x:v>07</x:v>
      </x:c>
      <x:c r="D30" t="str">
        <x:v>L</x:v>
      </x:c>
      <x:c r="E30" t="str">
        <x:v>Snaplock Metal</x:v>
      </x:c>
      <x:c r="F30" t="str">
        <x:v>($2.50 - $5.50 Per Sq/Ft, Depending On Pitch And Height)</x:v>
      </x:c>
      <x:c r="G30"/>
      <x:c r="H30" t="str">
        <x:v>Sq/Ft</x:v>
      </x:c>
      <x:c r="I30" t="n">
        <x:v>3.5</x:v>
      </x:c>
      <x:c r="J30" t="e">
        <x:f>L48*N48</x:f>
      </x:c>
      <x:c r="K30" t="e">
        <x:f>O48/(1-($E$44/100))</x:f>
      </x:c>
      <x:c r="L30" t="str">
        <x:v>Yes</x:v>
      </x:c>
      <x:c r="M30" t="str">
        <x:v>Yes</x:v>
      </x:c>
      <x:c r="N30" t="str">
        <x:v>Yes</x:v>
      </x:c>
      <x:c r="O30" t="str">
        <x:v>No</x:v>
      </x:c>
    </x:row>
    <x:row r="31" ht="15" hidden="0" customHeight="1">
      <x:c r="A31" t="str">
        <x:v>Plumbing/Mechanical</x:v>
      </x:c>
      <x:c r="B31" t="n">
        <x:v>55</x:v>
      </x:c>
      <x:c r="C31" t="str">
        <x:v>22</x:v>
      </x:c>
      <x:c r="D31" t="str">
        <x:v>M&amp;L</x:v>
      </x:c>
      <x:c r="E31" t="str">
        <x:v>Plumbing &amp; Heating</x:v>
      </x:c>
      <x:c r="F31"/>
      <x:c r="G31" t="n">
        <x:v>0</x:v>
      </x:c>
      <x:c r="H31" t="str">
        <x:v>Package</x:v>
      </x:c>
      <x:c r="I31" t="n">
        <x:v>5000</x:v>
      </x:c>
      <x:c r="J31" t="e">
        <x:f>L55*N55</x:f>
      </x:c>
      <x:c r="K31" t="e">
        <x:f>O55/(1-($E$53/100))</x:f>
      </x:c>
      <x:c r="L31" t="str">
        <x:v>Yes</x:v>
      </x:c>
      <x:c r="M31" t="str">
        <x:v>Yes</x:v>
      </x:c>
      <x:c r="N31" t="str">
        <x:v>Yes</x:v>
      </x:c>
      <x:c r="O31" t="str">
        <x:v>No</x:v>
      </x:c>
    </x:row>
    <x:row r="32" ht="15" hidden="0" customHeight="1">
      <x:c r="A32" t="str">
        <x:v>Plumbing/Mechanical</x:v>
      </x:c>
      <x:c r="B32" t="n">
        <x:v>56</x:v>
      </x:c>
      <x:c r="C32" t="str">
        <x:v>10</x:v>
      </x:c>
      <x:c r="D32" t="str">
        <x:v>M&amp;L</x:v>
      </x:c>
      <x:c r="E32" t="str">
        <x:v>Gas Fireplace</x:v>
      </x:c>
      <x:c r="F32" t="str">
        <x:v>(GX36 - $4000 or Budget $4000 - $10,000)</x:v>
      </x:c>
      <x:c r="G32"/>
      <x:c r="H32" t="str">
        <x:v>Package</x:v>
      </x:c>
      <x:c r="I32" t="n">
        <x:v>4000</x:v>
      </x:c>
      <x:c r="J32" t="e">
        <x:f>L56*N56</x:f>
      </x:c>
      <x:c r="K32" t="e">
        <x:f>O56/(1-($E$53/100))</x:f>
      </x:c>
      <x:c r="L32" t="str">
        <x:v>Yes</x:v>
      </x:c>
      <x:c r="M32" t="str">
        <x:v>Yes</x:v>
      </x:c>
      <x:c r="N32" t="str">
        <x:v>Yes</x:v>
      </x:c>
      <x:c r="O32" t="str">
        <x:v>No</x:v>
      </x:c>
    </x:row>
    <x:row r="33" ht="15" hidden="0" customHeight="1">
      <x:c r="A33" t="str">
        <x:v>Plumbing/Mechanical</x:v>
      </x:c>
      <x:c r="B33" t="n">
        <x:v>57</x:v>
      </x:c>
      <x:c r="C33" t="str">
        <x:v>22</x:v>
      </x:c>
      <x:c r="D33" t="str">
        <x:v>M</x:v>
      </x:c>
      <x:c r="E33" t="str">
        <x:v>Fixtures Allowance</x:v>
      </x:c>
      <x:c r="F33"/>
      <x:c r="G33" t="n">
        <x:v>1</x:v>
      </x:c>
      <x:c r="H33" t="str">
        <x:v>Package</x:v>
      </x:c>
      <x:c r="I33" t="e">
        <x:f>IF(OR(I57&gt;0,K57&gt;0),Y57,0)</x:f>
      </x:c>
      <x:c r="J33" t="e">
        <x:f>L57*N57</x:f>
      </x:c>
      <x:c r="K33" t="e">
        <x:f>O57/(1-($E$53/100))</x:f>
      </x:c>
      <x:c r="L33" t="str">
        <x:v>Yes</x:v>
      </x:c>
      <x:c r="M33" t="str">
        <x:v>Yes</x:v>
      </x:c>
      <x:c r="N33" t="str">
        <x:v>Yes</x:v>
      </x:c>
      <x:c r="O33" t="str">
        <x:v>No</x:v>
      </x:c>
    </x:row>
    <x:row r="34" ht="15" hidden="0" customHeight="1">
      <x:c r="A34" t="str">
        <x:v>Plumbing/Mechanical</x:v>
      </x:c>
      <x:c r="B34" t="n">
        <x:v>58</x:v>
      </x:c>
      <x:c r="C34" t="str">
        <x:v>10</x:v>
      </x:c>
      <x:c r="D34" t="str">
        <x:v>M&amp;L</x:v>
      </x:c>
      <x:c r="E34" t="str">
        <x:v>Custom Shower Door Allowance</x:v>
      </x:c>
      <x:c r="F34" t="str">
        <x:v>($2,200-$3,500)</x:v>
      </x:c>
      <x:c r="G34" t="n">
        <x:v>0</x:v>
      </x:c>
      <x:c r="H34" t="str">
        <x:v>Pce</x:v>
      </x:c>
      <x:c r="I34" t="n">
        <x:v>2500</x:v>
      </x:c>
      <x:c r="J34" t="e">
        <x:f>L58*N58</x:f>
      </x:c>
      <x:c r="K34" t="e">
        <x:f>O58/(1-($E$53/100))</x:f>
      </x:c>
      <x:c r="L34" t="str">
        <x:v>Yes</x:v>
      </x:c>
      <x:c r="M34" t="str">
        <x:v>Yes</x:v>
      </x:c>
      <x:c r="N34" t="str">
        <x:v>Yes</x:v>
      </x:c>
      <x:c r="O34" t="str">
        <x:v>No</x:v>
      </x:c>
    </x:row>
    <x:row r="35" ht="15" hidden="0" customHeight="1">
      <x:c r="A35" t="str">
        <x:v>Plumbing/Mechanical</x:v>
      </x:c>
      <x:c r="B35" t="n">
        <x:v>59</x:v>
      </x:c>
      <x:c r="C35" t="str">
        <x:v>10</x:v>
      </x:c>
      <x:c r="D35" t="str">
        <x:v>M&amp;L</x:v>
      </x:c>
      <x:c r="E35" t="str">
        <x:v>Standard Shower Door Allowance</x:v>
      </x:c>
      <x:c r="F35" t="str">
        <x:v>($1200 - $1500 Including Install)</x:v>
      </x:c>
      <x:c r="G35" t="n">
        <x:v>0</x:v>
      </x:c>
      <x:c r="H35" t="str">
        <x:v>Pce</x:v>
      </x:c>
      <x:c r="I35" t="n">
        <x:v>1500</x:v>
      </x:c>
      <x:c r="J35" t="e">
        <x:f>L59*N59</x:f>
      </x:c>
      <x:c r="K35" t="e">
        <x:f>O59/(1-($E$53/100))</x:f>
      </x:c>
      <x:c r="L35" t="str">
        <x:v>Yes</x:v>
      </x:c>
      <x:c r="M35" t="str">
        <x:v>Yes</x:v>
      </x:c>
      <x:c r="N35" t="str">
        <x:v>Yes</x:v>
      </x:c>
      <x:c r="O35" t="str">
        <x:v>No</x:v>
      </x:c>
    </x:row>
    <x:row r="36" ht="15" hidden="0" customHeight="1">
      <x:c r="A36" t="str">
        <x:v>Plumbing/Mechanical</x:v>
      </x:c>
      <x:c r="B36" t="n">
        <x:v>60</x:v>
      </x:c>
      <x:c r="C36" t="str">
        <x:v>22</x:v>
      </x:c>
      <x:c r="D36" t="str">
        <x:v>M&amp;L</x:v>
      </x:c>
      <x:c r="E36" t="str">
        <x:v>Soaker Tub/Jacuzzi Tub Budget</x:v>
      </x:c>
      <x:c r="F36" t="str">
        <x:v>($1,500 / $2,500)</x:v>
      </x:c>
      <x:c r="G36" t="n">
        <x:v>0</x:v>
      </x:c>
      <x:c r="H36" t="str">
        <x:v>Pce</x:v>
      </x:c>
      <x:c r="I36" t="n">
        <x:v>1500</x:v>
      </x:c>
      <x:c r="J36" t="e">
        <x:f>L60*N60</x:f>
      </x:c>
      <x:c r="K36" t="e">
        <x:f>O60/(1-($E$53/100))</x:f>
      </x:c>
      <x:c r="L36" t="str">
        <x:v>Yes</x:v>
      </x:c>
      <x:c r="M36" t="str">
        <x:v>Yes</x:v>
      </x:c>
      <x:c r="N36" t="str">
        <x:v>Yes</x:v>
      </x:c>
      <x:c r="O36" t="str">
        <x:v>No</x:v>
      </x:c>
    </x:row>
    <x:row r="37" ht="15" hidden="0" customHeight="1">
      <x:c r="A37" t="str">
        <x:v>Plumbing/Mechanical</x:v>
      </x:c>
      <x:c r="B37" t="n">
        <x:v>61</x:v>
      </x:c>
      <x:c r="C37" t="str">
        <x:v>10</x:v>
      </x:c>
      <x:c r="D37" t="str">
        <x:v>M&amp;L</x:v>
      </x:c>
      <x:c r="E37" t="str">
        <x:v>Wood Fireplace</x:v>
      </x:c>
      <x:c r="F37" t="str">
        <x:v>($7,000 - $9,000)</x:v>
      </x:c>
      <x:c r="G37"/>
      <x:c r="H37" t="str">
        <x:v>Package</x:v>
      </x:c>
      <x:c r="I37" t="n">
        <x:v>7000</x:v>
      </x:c>
      <x:c r="J37" t="e">
        <x:f>L61*N61</x:f>
      </x:c>
      <x:c r="K37" t="e">
        <x:f>O61/(1-($E$53/100))</x:f>
      </x:c>
      <x:c r="L37" t="str">
        <x:v>Yes</x:v>
      </x:c>
      <x:c r="M37" t="str">
        <x:v>Yes</x:v>
      </x:c>
      <x:c r="N37" t="str">
        <x:v>Yes</x:v>
      </x:c>
      <x:c r="O37" t="str">
        <x:v>No</x:v>
      </x:c>
    </x:row>
    <x:row r="38" ht="15" hidden="0" customHeight="1">
      <x:c r="A38" t="str">
        <x:v>Plumbing/Mechanical</x:v>
      </x:c>
      <x:c r="B38" t="n">
        <x:v>62</x:v>
      </x:c>
      <x:c r="C38" t="str">
        <x:v>11</x:v>
      </x:c>
      <x:c r="D38" t="str">
        <x:v>L</x:v>
      </x:c>
      <x:c r="E38" t="str">
        <x:v>Appliance Install</x:v>
      </x:c>
      <x:c r="F38"/>
      <x:c r="G38" t="n">
        <x:v>0</x:v>
      </x:c>
      <x:c r="H38"/>
      <x:c r="I38" t="n">
        <x:v>0</x:v>
      </x:c>
      <x:c r="J38" t="e">
        <x:f>L62*N62</x:f>
      </x:c>
      <x:c r="K38" t="e">
        <x:f>O62/(1-($E$53/100))</x:f>
      </x:c>
      <x:c r="L38" t="str">
        <x:v>Yes</x:v>
      </x:c>
      <x:c r="M38" t="str">
        <x:v>Yes</x:v>
      </x:c>
      <x:c r="N38" t="str">
        <x:v>Yes</x:v>
      </x:c>
      <x:c r="O38" t="str">
        <x:v>No</x:v>
      </x:c>
    </x:row>
    <x:row r="39" ht="15" hidden="0" customHeight="1">
      <x:c r="A39" t="str">
        <x:v>Electrical</x:v>
      </x:c>
      <x:c r="B39" t="n">
        <x:v>69</x:v>
      </x:c>
      <x:c r="C39" t="str">
        <x:v>26</x:v>
      </x:c>
      <x:c r="D39" t="str">
        <x:v>M&amp;L</x:v>
      </x:c>
      <x:c r="E39" t="str">
        <x:v>Budget Base Electrical RTM</x:v>
      </x:c>
      <x:c r="F39" t="str">
        <x:v>($9.50 - $10.50 Per SqFt)</x:v>
      </x:c>
      <x:c r="G39" t="e">
        <x:f>Floor_SqFt</x:f>
      </x:c>
      <x:c r="H39" t="str">
        <x:v>Floor Sq/Ft</x:v>
      </x:c>
      <x:c r="I39" t="n">
        <x:v>10</x:v>
      </x:c>
      <x:c r="J39" t="e">
        <x:f>L69*N69</x:f>
      </x:c>
      <x:c r="K39" t="e">
        <x:f>O69/(1-($E$67/100))</x:f>
      </x:c>
      <x:c r="L39" t="str">
        <x:v>Yes</x:v>
      </x:c>
      <x:c r="M39" t="str">
        <x:v>Yes</x:v>
      </x:c>
      <x:c r="N39" t="str">
        <x:v>Yes</x:v>
      </x:c>
      <x:c r="O39" t="str">
        <x:v>No</x:v>
      </x:c>
    </x:row>
    <x:row r="40" ht="15" hidden="0" customHeight="1">
      <x:c r="A40" t="str">
        <x:v>Electrical</x:v>
      </x:c>
      <x:c r="B40" t="n">
        <x:v>70</x:v>
      </x:c>
      <x:c r="C40" t="str">
        <x:v>26</x:v>
      </x:c>
      <x:c r="D40" t="str">
        <x:v>M&amp;L</x:v>
      </x:c>
      <x:c r="E40" t="str">
        <x:v>Quoted Electrical</x:v>
      </x:c>
      <x:c r="F40"/>
      <x:c r="G40"/>
      <x:c r="H40" t="str">
        <x:v>Package</x:v>
      </x:c>
      <x:c r="I40"/>
      <x:c r="J40" t="e">
        <x:f>L70*N70</x:f>
      </x:c>
      <x:c r="K40" t="e">
        <x:f>O70/(1-($E$67/100))</x:f>
      </x:c>
      <x:c r="L40" t="str">
        <x:v>Yes</x:v>
      </x:c>
      <x:c r="M40" t="str">
        <x:v>Yes</x:v>
      </x:c>
      <x:c r="N40" t="str">
        <x:v>Yes</x:v>
      </x:c>
      <x:c r="O40" t="str">
        <x:v>No</x:v>
      </x:c>
    </x:row>
    <x:row r="41" ht="15" hidden="0" customHeight="1">
      <x:c r="A41" t="str">
        <x:v>Electrical</x:v>
      </x:c>
      <x:c r="B41" t="n">
        <x:v>71</x:v>
      </x:c>
      <x:c r="C41" t="str">
        <x:v>26</x:v>
      </x:c>
      <x:c r="D41" t="str">
        <x:v>M</x:v>
      </x:c>
      <x:c r="E41" t="str">
        <x:v>Electrical Fixture Allowance</x:v>
      </x:c>
      <x:c r="F41" t="str">
        <x:v>($1.75 - $2.25 Per SqFt)</x:v>
      </x:c>
      <x:c r="G41" t="e">
        <x:f>Floor_SqFt</x:f>
      </x:c>
      <x:c r="H41" t="str">
        <x:v>Floor Sq/Ft</x:v>
      </x:c>
      <x:c r="I41" t="n">
        <x:v>2</x:v>
      </x:c>
      <x:c r="J41" t="e">
        <x:f>L71*N71</x:f>
      </x:c>
      <x:c r="K41" t="e">
        <x:f>O71/(1-($E$67/100))</x:f>
      </x:c>
      <x:c r="L41" t="str">
        <x:v>Yes</x:v>
      </x:c>
      <x:c r="M41" t="str">
        <x:v>Yes</x:v>
      </x:c>
      <x:c r="N41" t="str">
        <x:v>Yes</x:v>
      </x:c>
      <x:c r="O41" t="str">
        <x:v>No</x:v>
      </x:c>
    </x:row>
    <x:row r="42" ht="15" hidden="0" customHeight="1">
      <x:c r="A42" t="str">
        <x:v>Electrical</x:v>
      </x:c>
      <x:c r="B42" t="n">
        <x:v>72</x:v>
      </x:c>
      <x:c r="C42" t="str">
        <x:v>26</x:v>
      </x:c>
      <x:c r="D42" t="str">
        <x:v>M&amp;L</x:v>
      </x:c>
      <x:c r="E42" t="str">
        <x:v>Under Cabinet Lighting</x:v>
      </x:c>
      <x:c r="F42"/>
      <x:c r="G42" t="n">
        <x:v>0</x:v>
      </x:c>
      <x:c r="H42" t="str">
        <x:v>Ln/Ft</x:v>
      </x:c>
      <x:c r="I42" t="n">
        <x:v>38</x:v>
      </x:c>
      <x:c r="J42" t="e">
        <x:f>L72*N72</x:f>
      </x:c>
      <x:c r="K42" t="e">
        <x:f>O72/(1-($E$67/100))</x:f>
      </x:c>
      <x:c r="L42" t="str">
        <x:v>Yes</x:v>
      </x:c>
      <x:c r="M42" t="str">
        <x:v>Yes</x:v>
      </x:c>
      <x:c r="N42" t="str">
        <x:v>Yes</x:v>
      </x:c>
      <x:c r="O42" t="str">
        <x:v>No</x:v>
      </x:c>
    </x:row>
    <x:row r="43" ht="15" hidden="0" customHeight="1">
      <x:c r="A43" t="str">
        <x:v>Electrical</x:v>
      </x:c>
      <x:c r="B43" t="n">
        <x:v>73</x:v>
      </x:c>
      <x:c r="C43" t="str">
        <x:v>26</x:v>
      </x:c>
      <x:c r="D43" t="str">
        <x:v>M&amp;L</x:v>
      </x:c>
      <x:c r="E43" t="str">
        <x:v>Upper Cabinet Lighting</x:v>
      </x:c>
      <x:c r="F43"/>
      <x:c r="G43"/>
      <x:c r="H43" t="str">
        <x:v>Ln/Ft</x:v>
      </x:c>
      <x:c r="I43" t="n">
        <x:v>38</x:v>
      </x:c>
      <x:c r="J43" t="e">
        <x:f>L73*N73</x:f>
      </x:c>
      <x:c r="K43" t="e">
        <x:f>O73/(1-($E$67/100))</x:f>
      </x:c>
      <x:c r="L43" t="str">
        <x:v>Yes</x:v>
      </x:c>
      <x:c r="M43" t="str">
        <x:v>Yes</x:v>
      </x:c>
      <x:c r="N43" t="str">
        <x:v>Yes</x:v>
      </x:c>
      <x:c r="O43" t="str">
        <x:v>No</x:v>
      </x:c>
    </x:row>
    <x:row r="44" ht="15" hidden="0" customHeight="1">
      <x:c r="A44" t="str">
        <x:v>Electrical</x:v>
      </x:c>
      <x:c r="B44" t="n">
        <x:v>74</x:v>
      </x:c>
      <x:c r="C44" t="str">
        <x:v>11</x:v>
      </x:c>
      <x:c r="D44" t="str">
        <x:v>L</x:v>
      </x:c>
      <x:c r="E44" t="str">
        <x:v>Appliance Install</x:v>
      </x:c>
      <x:c r="F44"/>
      <x:c r="G44"/>
      <x:c r="H44"/>
      <x:c r="I44"/>
      <x:c r="J44" t="e">
        <x:f>L74*N74</x:f>
      </x:c>
      <x:c r="K44" t="e">
        <x:f>O74/(1-($E$67/100))</x:f>
      </x:c>
      <x:c r="L44" t="str">
        <x:v>Yes</x:v>
      </x:c>
      <x:c r="M44" t="str">
        <x:v>Yes</x:v>
      </x:c>
      <x:c r="N44" t="str">
        <x:v>Yes</x:v>
      </x:c>
      <x:c r="O44" t="str">
        <x:v>No</x:v>
      </x:c>
    </x:row>
    <x:row r="45" ht="15" hidden="0" customHeight="1">
      <x:c r="A45" t="str">
        <x:v>Exterior</x:v>
      </x:c>
      <x:c r="B45" t="n">
        <x:v>81</x:v>
      </x:c>
      <x:c r="C45" t="str">
        <x:v>07</x:v>
      </x:c>
      <x:c r="D45" t="str">
        <x:v>L</x:v>
      </x:c>
      <x:c r="E45" t="str">
        <x:v>House &amp; Garage Siding</x:v>
      </x:c>
      <x:c r="F45" t="str">
        <x:v>See Siding Calc =&gt;</x:v>
      </x:c>
      <x:c r="G45"/>
      <x:c r="H45" t="str">
        <x:v>Package</x:v>
      </x:c>
      <x:c r="I45"/>
      <x:c r="J45" t="n">
        <x:f>V89</x:f>
        <x:v>0</x:v>
      </x:c>
      <x:c r="K45" t="e">
        <x:f>O81/(1-($E$79/100))</x:f>
      </x:c>
      <x:c r="L45" t="str">
        <x:v>Yes</x:v>
      </x:c>
      <x:c r="M45" t="str">
        <x:v>Yes</x:v>
      </x:c>
      <x:c r="N45" t="str">
        <x:v>Yes</x:v>
      </x:c>
      <x:c r="O45" t="str">
        <x:v>No</x:v>
      </x:c>
    </x:row>
    <x:row r="46" ht="15" hidden="0" customHeight="1">
      <x:c r="A46" t="str">
        <x:v>Exterior</x:v>
      </x:c>
      <x:c r="B46" t="n">
        <x:v>82</x:v>
      </x:c>
      <x:c r="C46" t="str">
        <x:v>07</x:v>
      </x:c>
      <x:c r="D46" t="str">
        <x:v>L</x:v>
      </x:c>
      <x:c r="E46" t="str">
        <x:v>House &amp; Garage Soffit &amp; Fasica</x:v>
      </x:c>
      <x:c r="F46" t="str">
        <x:v>(1 Story = $2.00, 2 Story = $2.50)</x:v>
      </x:c>
      <x:c r="G46" t="n">
        <x:v>0</x:v>
      </x:c>
      <x:c r="H46" t="str">
        <x:v>Sq/Ft</x:v>
      </x:c>
      <x:c r="I46" t="n">
        <x:v>2.25</x:v>
      </x:c>
      <x:c r="J46" t="e">
        <x:f>L82*N82</x:f>
      </x:c>
      <x:c r="K46" t="e">
        <x:f>O82/(1-($E$79/100))</x:f>
      </x:c>
      <x:c r="L46" t="str">
        <x:v>Yes</x:v>
      </x:c>
      <x:c r="M46" t="str">
        <x:v>Yes</x:v>
      </x:c>
      <x:c r="N46" t="str">
        <x:v>Yes</x:v>
      </x:c>
      <x:c r="O46" t="str">
        <x:v>No</x:v>
      </x:c>
    </x:row>
    <x:row r="47" ht="15" hidden="0" customHeight="1">
      <x:c r="A47" t="str">
        <x:v>Exterior</x:v>
      </x:c>
      <x:c r="B47" t="n">
        <x:v>83</x:v>
      </x:c>
      <x:c r="C47" t="str">
        <x:v>07</x:v>
      </x:c>
      <x:c r="D47" t="str">
        <x:v>M&amp;L</x:v>
      </x:c>
      <x:c r="E47" t="str">
        <x:v>Eavestrough &amp; Downdspouts</x:v>
      </x:c>
      <x:c r="F47" t="str">
        <x:v>($7.25 - $9.25 Per Lin Ft)</x:v>
      </x:c>
      <x:c r="G47" t="n">
        <x:v>0</x:v>
      </x:c>
      <x:c r="H47" t="str">
        <x:v>Ln/Ft</x:v>
      </x:c>
      <x:c r="I47" t="n">
        <x:v>8.25</x:v>
      </x:c>
      <x:c r="J47" t="e">
        <x:f>L83*N83</x:f>
      </x:c>
      <x:c r="K47" t="e">
        <x:f>O83/(1-($E$79/100))</x:f>
      </x:c>
      <x:c r="L47" t="str">
        <x:v>Yes</x:v>
      </x:c>
      <x:c r="M47" t="str">
        <x:v>Yes</x:v>
      </x:c>
      <x:c r="N47" t="str">
        <x:v>Yes</x:v>
      </x:c>
      <x:c r="O47" t="str">
        <x:v>No</x:v>
      </x:c>
    </x:row>
    <x:row r="48" ht="15" hidden="0" customHeight="1">
      <x:c r="A48" t="str">
        <x:v>Exterior</x:v>
      </x:c>
      <x:c r="B48" t="n">
        <x:v>84</x:v>
      </x:c>
      <x:c r="C48" t="str">
        <x:v>07</x:v>
      </x:c>
      <x:c r="D48" t="str">
        <x:v>M&amp;L</x:v>
      </x:c>
      <x:c r="E48" t="str">
        <x:v>Parging</x:v>
      </x:c>
      <x:c r="F48" t="str">
        <x:v>($6.50 Per SqFt Standard Grey,  $7.50 Per SqFt Acrylic Color)</x:v>
      </x:c>
      <x:c r="G48"/>
      <x:c r="H48" t="str">
        <x:v>Wall Sq/Ft</x:v>
      </x:c>
      <x:c r="I48" t="n">
        <x:v>7.5</x:v>
      </x:c>
      <x:c r="J48" t="e">
        <x:f>L84*N84</x:f>
      </x:c>
      <x:c r="K48" t="e">
        <x:f>O84/(1-($E$79/100))</x:f>
      </x:c>
      <x:c r="L48" t="str">
        <x:v>Yes</x:v>
      </x:c>
      <x:c r="M48" t="str">
        <x:v>Yes</x:v>
      </x:c>
      <x:c r="N48" t="str">
        <x:v>Yes</x:v>
      </x:c>
      <x:c r="O48" t="str">
        <x:v>No</x:v>
      </x:c>
    </x:row>
    <x:row r="49" ht="15" hidden="0" customHeight="1">
      <x:c r="A49" t="str">
        <x:v>Exterior</x:v>
      </x:c>
      <x:c r="B49" t="n">
        <x:v>85</x:v>
      </x:c>
      <x:c r="C49" t="str">
        <x:v>06</x:v>
      </x:c>
      <x:c r="D49" t="str">
        <x:v>M&amp;L</x:v>
      </x:c>
      <x:c r="E49" t="str">
        <x:v>Waterproof Decking</x:v>
      </x:c>
      <x:c r="F49" t="str">
        <x:v>(Roll on = $15, Tufdek = $18)</x:v>
      </x:c>
      <x:c r="G49" t="n">
        <x:v>0</x:v>
      </x:c>
      <x:c r="H49" t="str">
        <x:v>Sq/Ft</x:v>
      </x:c>
      <x:c r="I49" t="n">
        <x:v>18</x:v>
      </x:c>
      <x:c r="J49" t="e">
        <x:f>L85*N85</x:f>
      </x:c>
      <x:c r="K49" t="e">
        <x:f>O85/(1-($E$79/100))</x:f>
      </x:c>
      <x:c r="L49" t="str">
        <x:v>Yes</x:v>
      </x:c>
      <x:c r="M49" t="str">
        <x:v>Yes</x:v>
      </x:c>
      <x:c r="N49" t="str">
        <x:v>Yes</x:v>
      </x:c>
      <x:c r="O49" t="str">
        <x:v>No</x:v>
      </x:c>
    </x:row>
    <x:row r="50" ht="15" hidden="0" customHeight="1">
      <x:c r="A50" t="str">
        <x:v>Exterior</x:v>
      </x:c>
      <x:c r="B50" t="n">
        <x:v>86</x:v>
      </x:c>
      <x:c r="C50" t="str">
        <x:v>06</x:v>
      </x:c>
      <x:c r="D50" t="str">
        <x:v>L</x:v>
      </x:c>
      <x:c r="E50" t="str">
        <x:v>Deck Railing</x:v>
      </x:c>
      <x:c r="F50" t="str">
        <x:v>(ACQ - $15, Regal = $20 - $30)</x:v>
      </x:c>
      <x:c r="G50" t="n">
        <x:v>0</x:v>
      </x:c>
      <x:c r="H50" t="str">
        <x:v>Ln/Ft</x:v>
      </x:c>
      <x:c r="I50" t="n">
        <x:v>25</x:v>
      </x:c>
      <x:c r="J50" t="e">
        <x:f>L86*N86</x:f>
      </x:c>
      <x:c r="K50" t="e">
        <x:f>O86/(1-($E$79/100))</x:f>
      </x:c>
      <x:c r="L50" t="str">
        <x:v>Yes</x:v>
      </x:c>
      <x:c r="M50" t="str">
        <x:v>Yes</x:v>
      </x:c>
      <x:c r="N50" t="str">
        <x:v>Yes</x:v>
      </x:c>
      <x:c r="O50" t="str">
        <x:v>No</x:v>
      </x:c>
    </x:row>
    <x:row r="51" ht="15" hidden="0" customHeight="1">
      <x:c r="A51" t="str">
        <x:v>Exterior</x:v>
      </x:c>
      <x:c r="B51" t="n">
        <x:v>87</x:v>
      </x:c>
      <x:c r="C51" t="str">
        <x:v>06</x:v>
      </x:c>
      <x:c r="D51" t="str">
        <x:v>L</x:v>
      </x:c>
      <x:c r="E51" t="str">
        <x:v>Decking Install</x:v>
      </x:c>
      <x:c r="F51" t="str">
        <x:v>(Composite = $3 - $3.50, Treated/Cedar = $2 - $2.50)</x:v>
      </x:c>
      <x:c r="G51" t="n">
        <x:v>0</x:v>
      </x:c>
      <x:c r="H51" t="str">
        <x:v>Floor Sq/Ft</x:v>
      </x:c>
      <x:c r="I51" t="n">
        <x:v>3.25</x:v>
      </x:c>
      <x:c r="J51" t="e">
        <x:f>L87*N87</x:f>
      </x:c>
      <x:c r="K51" t="e">
        <x:f>O87/(1-($E$79/100))</x:f>
      </x:c>
      <x:c r="L51" t="str">
        <x:v>Yes</x:v>
      </x:c>
      <x:c r="M51" t="str">
        <x:v>Yes</x:v>
      </x:c>
      <x:c r="N51" t="str">
        <x:v>Yes</x:v>
      </x:c>
      <x:c r="O51" t="str">
        <x:v>No</x:v>
      </x:c>
    </x:row>
    <x:row r="52" ht="15" hidden="0" customHeight="1">
      <x:c r="A52" t="str">
        <x:v>Exterior</x:v>
      </x:c>
      <x:c r="B52" t="n">
        <x:v>88</x:v>
      </x:c>
      <x:c r="C52" t="str">
        <x:v>06</x:v>
      </x:c>
      <x:c r="D52" t="str">
        <x:v>L</x:v>
      </x:c>
      <x:c r="E52" t="str">
        <x:v>Deck Stairs</x:v>
      </x:c>
      <x:c r="F52" t="str">
        <x:v>($250 - $750, depending on size and complexity, includes the stair decking)</x:v>
      </x:c>
      <x:c r="G52"/>
      <x:c r="H52" t="str">
        <x:v>Pce</x:v>
      </x:c>
      <x:c r="I52" t="n">
        <x:v>500</x:v>
      </x:c>
      <x:c r="J52" t="e">
        <x:f>L88*N88</x:f>
      </x:c>
      <x:c r="K52" t="e">
        <x:f>O88/(1-($E$79/100))</x:f>
      </x:c>
      <x:c r="L52" t="str">
        <x:v>Yes</x:v>
      </x:c>
      <x:c r="M52" t="str">
        <x:v>Yes</x:v>
      </x:c>
      <x:c r="N52" t="str">
        <x:v>Yes</x:v>
      </x:c>
      <x:c r="O52" t="str">
        <x:v>No</x:v>
      </x:c>
    </x:row>
    <x:row r="53" ht="15" hidden="0" customHeight="1">
      <x:c r="A53" t="str">
        <x:v>Insulation</x:v>
      </x:c>
      <x:c r="B53" t="n">
        <x:v>94</x:v>
      </x:c>
      <x:c r="C53" t="str">
        <x:v>07</x:v>
      </x:c>
      <x:c r="D53" t="str">
        <x:v>L</x:v>
      </x:c>
      <x:c r="E53" t="str">
        <x:v>House</x:v>
      </x:c>
      <x:c r="F53" t="str">
        <x:v>(Include ceiling Sq/Ft if not blow)</x:v>
      </x:c>
      <x:c r="G53" t="n">
        <x:v>0</x:v>
      </x:c>
      <x:c r="H53" t="str">
        <x:v>Wall Sq/Ft</x:v>
      </x:c>
      <x:c r="I53" t="n">
        <x:v>0.6</x:v>
      </x:c>
      <x:c r="J53" t="e">
        <x:f>L94*N94</x:f>
      </x:c>
      <x:c r="K53" t="e">
        <x:f>O94/(1-($E$92/100))</x:f>
      </x:c>
      <x:c r="L53" t="str">
        <x:v>Yes</x:v>
      </x:c>
      <x:c r="M53" t="str">
        <x:v>Yes</x:v>
      </x:c>
      <x:c r="N53" t="str">
        <x:v>Yes</x:v>
      </x:c>
      <x:c r="O53" t="str">
        <x:v>No</x:v>
      </x:c>
    </x:row>
    <x:row r="54" ht="15" hidden="0" customHeight="1">
      <x:c r="A54" t="str">
        <x:v>Insulation</x:v>
      </x:c>
      <x:c r="B54" t="n">
        <x:v>95</x:v>
      </x:c>
      <x:c r="C54" t="str">
        <x:v>07</x:v>
      </x:c>
      <x:c r="D54" t="str">
        <x:v>L</x:v>
      </x:c>
      <x:c r="E54" t="str">
        <x:v>House Ceiling Blow</x:v>
      </x:c>
      <x:c r="F54" t="str">
        <x:v>(R40 = $1.75, R60 = $1.90)</x:v>
      </x:c>
      <x:c r="G54" t="n">
        <x:v>0</x:v>
      </x:c>
      <x:c r="H54" t="str">
        <x:v>Floor Sq/Ft</x:v>
      </x:c>
      <x:c r="I54" t="n">
        <x:v>1.9</x:v>
      </x:c>
      <x:c r="J54" t="e">
        <x:f>L95*N95</x:f>
      </x:c>
      <x:c r="K54" t="e">
        <x:f>O95/(1-($E$92/100))</x:f>
      </x:c>
      <x:c r="L54" t="str">
        <x:v>Yes</x:v>
      </x:c>
      <x:c r="M54" t="str">
        <x:v>Yes</x:v>
      </x:c>
      <x:c r="N54" t="str">
        <x:v>Yes</x:v>
      </x:c>
      <x:c r="O54" t="str">
        <x:v>No</x:v>
      </x:c>
    </x:row>
    <x:row r="55" ht="15" hidden="0" customHeight="1">
      <x:c r="A55" t="str">
        <x:v>Insulation</x:v>
      </x:c>
      <x:c r="B55" t="n">
        <x:v>96</x:v>
      </x:c>
      <x:c r="C55" t="str">
        <x:v>07</x:v>
      </x:c>
      <x:c r="D55" t="str">
        <x:v>M&amp;L</x:v>
      </x:c>
      <x:c r="E55" t="str">
        <x:v>Spray Foam Joist Ends</x:v>
      </x:c>
      <x:c r="F55" t="str">
        <x:v>($10 - $12 Per SqFt, Add $3.50 For Thermobarrier Fire Retardent)</x:v>
      </x:c>
      <x:c r="G55" t="n">
        <x:v>0</x:v>
      </x:c>
      <x:c r="H55" t="str">
        <x:v>Sq/Ft</x:v>
      </x:c>
      <x:c r="I55" t="n">
        <x:v>10</x:v>
      </x:c>
      <x:c r="J55" t="e">
        <x:f>L96*N96</x:f>
      </x:c>
      <x:c r="K55" t="e">
        <x:f>O96/(1-($E$92/100))</x:f>
      </x:c>
      <x:c r="L55" t="str">
        <x:v>Yes</x:v>
      </x:c>
      <x:c r="M55" t="str">
        <x:v>Yes</x:v>
      </x:c>
      <x:c r="N55" t="str">
        <x:v>Yes</x:v>
      </x:c>
      <x:c r="O55" t="str">
        <x:v>No</x:v>
      </x:c>
    </x:row>
    <x:row r="56" ht="15" hidden="0" customHeight="1">
      <x:c r="A56" t="str">
        <x:v>Insulation</x:v>
      </x:c>
      <x:c r="B56" t="n">
        <x:v>97</x:v>
      </x:c>
      <x:c r="C56" t="str">
        <x:v>07</x:v>
      </x:c>
      <x:c r="D56" t="str">
        <x:v>L</x:v>
      </x:c>
      <x:c r="E56" t="str">
        <x:v>Soundproofing</x:v>
      </x:c>
      <x:c r="F56"/>
      <x:c r="G56"/>
      <x:c r="H56" t="str">
        <x:v>Wall Sq/Ft</x:v>
      </x:c>
      <x:c r="I56" t="n">
        <x:v>0.5</x:v>
      </x:c>
      <x:c r="J56" t="e">
        <x:f>L97*N97</x:f>
      </x:c>
      <x:c r="K56" t="e">
        <x:f>O97/(1-($E$92/100))</x:f>
      </x:c>
      <x:c r="L56" t="str">
        <x:v>Yes</x:v>
      </x:c>
      <x:c r="M56" t="str">
        <x:v>Yes</x:v>
      </x:c>
      <x:c r="N56" t="str">
        <x:v>Yes</x:v>
      </x:c>
      <x:c r="O56" t="str">
        <x:v>No</x:v>
      </x:c>
    </x:row>
    <x:row r="57" ht="15" hidden="0" customHeight="1">
      <x:c r="A57" t="str">
        <x:v>Insulation</x:v>
      </x:c>
      <x:c r="B57" t="n">
        <x:v>98</x:v>
      </x:c>
      <x:c r="C57" t="str">
        <x:v>07</x:v>
      </x:c>
      <x:c r="D57" t="str">
        <x:v>M&amp;L</x:v>
      </x:c>
      <x:c r="E57" t="str">
        <x:v>Spray Foam Floors</x:v>
      </x:c>
      <x:c r="F57" t="str">
        <x:v>(4.5" = 7.25, 6" = 9.65)</x:v>
      </x:c>
      <x:c r="G57"/>
      <x:c r="H57" t="str">
        <x:v>Floor Sq/Ft</x:v>
      </x:c>
      <x:c r="I57" t="n">
        <x:v>7.25</x:v>
      </x:c>
      <x:c r="J57" t="e">
        <x:f>L98*N98</x:f>
      </x:c>
      <x:c r="K57" t="e">
        <x:f>O98/(1-($E$92/100))</x:f>
      </x:c>
      <x:c r="L57" t="str">
        <x:v>Yes</x:v>
      </x:c>
      <x:c r="M57" t="str">
        <x:v>Yes</x:v>
      </x:c>
      <x:c r="N57" t="str">
        <x:v>Yes</x:v>
      </x:c>
      <x:c r="O57" t="str">
        <x:v>No</x:v>
      </x:c>
    </x:row>
    <x:row r="58" ht="15" hidden="0" customHeight="1">
      <x:c r="A58" t="str">
        <x:v>Insulation</x:v>
      </x:c>
      <x:c r="B58" t="n">
        <x:v>99</x:v>
      </x:c>
      <x:c r="C58" t="str">
        <x:v>07</x:v>
      </x:c>
      <x:c r="D58" t="str">
        <x:v>L</x:v>
      </x:c>
      <x:c r="E58" t="str">
        <x:v>Exterior Styrofoam Install</x:v>
      </x:c>
      <x:c r="F58" t="str">
        <x:v>($1 - $1.50 Per SqFt??)</x:v>
      </x:c>
      <x:c r="G58"/>
      <x:c r="H58" t="str">
        <x:v>Wall Sq/Ft</x:v>
      </x:c>
      <x:c r="I58" t="n">
        <x:v>1.25</x:v>
      </x:c>
      <x:c r="J58" t="e">
        <x:f>L99*N99</x:f>
      </x:c>
      <x:c r="K58" t="e">
        <x:f>O99/(1-($E$92/100))</x:f>
      </x:c>
      <x:c r="L58" t="str">
        <x:v>Yes</x:v>
      </x:c>
      <x:c r="M58" t="str">
        <x:v>Yes</x:v>
      </x:c>
      <x:c r="N58" t="str">
        <x:v>Yes</x:v>
      </x:c>
      <x:c r="O58" t="str">
        <x:v>No</x:v>
      </x:c>
    </x:row>
    <x:row r="59" ht="15" hidden="0" customHeight="1">
      <x:c r="A59" t="str">
        <x:v>Drywall</x:v>
      </x:c>
      <x:c r="B59" t="n">
        <x:v>106</x:v>
      </x:c>
      <x:c r="C59" t="str">
        <x:v>09</x:v>
      </x:c>
      <x:c r="D59" t="str">
        <x:v>L</x:v>
      </x:c>
      <x:c r="E59" t="str">
        <x:v>House Walls</x:v>
      </x:c>
      <x:c r="F59" t="str">
        <x:v>($.45 - $.60, Depends On Wall Height)</x:v>
      </x:c>
      <x:c r="G59" t="n">
        <x:v>0</x:v>
      </x:c>
      <x:c r="H59" t="str">
        <x:v>Wall Sq/Ft</x:v>
      </x:c>
      <x:c r="I59" t="n">
        <x:v>0.5</x:v>
      </x:c>
      <x:c r="J59" t="e">
        <x:f>L106*N106</x:f>
      </x:c>
      <x:c r="K59" t="e">
        <x:f>O106/(1-($E$104/100))</x:f>
      </x:c>
      <x:c r="L59" t="str">
        <x:v>Yes</x:v>
      </x:c>
      <x:c r="M59" t="str">
        <x:v>Yes</x:v>
      </x:c>
      <x:c r="N59" t="str">
        <x:v>Yes</x:v>
      </x:c>
      <x:c r="O59" t="str">
        <x:v>No</x:v>
      </x:c>
    </x:row>
    <x:row r="60" ht="15" hidden="0" customHeight="1">
      <x:c r="A60" t="str">
        <x:v>Drywall</x:v>
      </x:c>
      <x:c r="B60" t="n">
        <x:v>107</x:v>
      </x:c>
      <x:c r="C60" t="str">
        <x:v>09</x:v>
      </x:c>
      <x:c r="D60" t="str">
        <x:v>L</x:v>
      </x:c>
      <x:c r="E60" t="str">
        <x:v>House Ceilings</x:v>
      </x:c>
      <x:c r="F60" t="str">
        <x:v>($.45 - $.60, Depends On Wall Height)</x:v>
      </x:c>
      <x:c r="G60"/>
      <x:c r="H60" t="str">
        <x:v>Floor Sq/Ft</x:v>
      </x:c>
      <x:c r="I60" t="n">
        <x:v>0.6</x:v>
      </x:c>
      <x:c r="J60" t="e">
        <x:f>L107*N107</x:f>
      </x:c>
      <x:c r="K60" t="e">
        <x:f>O107/(1-($E$104/100))</x:f>
      </x:c>
      <x:c r="L60" t="str">
        <x:v>Yes</x:v>
      </x:c>
      <x:c r="M60" t="str">
        <x:v>Yes</x:v>
      </x:c>
      <x:c r="N60" t="str">
        <x:v>Yes</x:v>
      </x:c>
      <x:c r="O60" t="str">
        <x:v>No</x:v>
      </x:c>
    </x:row>
    <x:row r="61" ht="15" hidden="0" customHeight="1">
      <x:c r="A61" t="str">
        <x:v>Drywall</x:v>
      </x:c>
      <x:c r="B61" t="n">
        <x:v>108</x:v>
      </x:c>
      <x:c r="C61" t="str">
        <x:v>09</x:v>
      </x:c>
      <x:c r="D61" t="str">
        <x:v>L</x:v>
      </x:c>
      <x:c r="E61" t="str">
        <x:v>Bulkheads</x:v>
      </x:c>
      <x:c r="F61"/>
      <x:c r="G61"/>
      <x:c r="H61" t="str">
        <x:v>Wall Sq/Ft</x:v>
      </x:c>
      <x:c r="I61" t="n">
        <x:v>0.75</x:v>
      </x:c>
      <x:c r="J61" t="e">
        <x:f>L108*N108</x:f>
      </x:c>
      <x:c r="K61" t="e">
        <x:f>O108/(1-($E$104/100))</x:f>
      </x:c>
      <x:c r="L61" t="str">
        <x:v>Yes</x:v>
      </x:c>
      <x:c r="M61" t="str">
        <x:v>Yes</x:v>
      </x:c>
      <x:c r="N61" t="str">
        <x:v>Yes</x:v>
      </x:c>
      <x:c r="O61" t="str">
        <x:v>No</x:v>
      </x:c>
    </x:row>
    <x:row r="62" ht="15" hidden="0" customHeight="1">
      <x:c r="A62" t="str">
        <x:v>Mud &amp; Tape</x:v>
      </x:c>
      <x:c r="B62" t="n">
        <x:v>115</x:v>
      </x:c>
      <x:c r="C62" t="str">
        <x:v>09</x:v>
      </x:c>
      <x:c r="D62" t="str">
        <x:v>L</x:v>
      </x:c>
      <x:c r="E62" t="str">
        <x:v>Standard House</x:v>
      </x:c>
      <x:c r="F62" t="str">
        <x:v>($3.25 - $3.75 With Text. Ceilings, $2.50 - $3.25 No Ceilings, Standard Heights)</x:v>
      </x:c>
      <x:c r="G62" t="e">
        <x:f>Floor_SqFt</x:f>
      </x:c>
      <x:c r="H62" t="str">
        <x:v>Floor Sq/Ft</x:v>
      </x:c>
      <x:c r="I62" t="n">
        <x:v>2.5</x:v>
      </x:c>
      <x:c r="J62" t="e">
        <x:f>L115*N115</x:f>
      </x:c>
      <x:c r="K62" t="e">
        <x:f>O115/(1-($E$113/100))</x:f>
      </x:c>
      <x:c r="L62" t="str">
        <x:v>Yes</x:v>
      </x:c>
      <x:c r="M62" t="str">
        <x:v>Yes</x:v>
      </x:c>
      <x:c r="N62" t="str">
        <x:v>Yes</x:v>
      </x:c>
      <x:c r="O62" t="str">
        <x:v>No</x:v>
      </x:c>
    </x:row>
    <x:row r="63" ht="15" hidden="0" customHeight="1">
      <x:c r="A63" t="str">
        <x:v>Mud &amp; Tape</x:v>
      </x:c>
      <x:c r="B63" t="n">
        <x:v>116</x:v>
      </x:c>
      <x:c r="C63" t="str">
        <x:v>09</x:v>
      </x:c>
      <x:c r="D63" t="str">
        <x:v>M&amp;L</x:v>
      </x:c>
      <x:c r="E63" t="str">
        <x:v>House Paint Grade Ceiling Upgrade</x:v>
      </x:c>
      <x:c r="F63" t="str">
        <x:v>(Includes Extra Mud&amp;Tape Labor &amp; Materials)</x:v>
      </x:c>
      <x:c r="G63"/>
      <x:c r="H63" t="str">
        <x:v>Floor Sq/Ft</x:v>
      </x:c>
      <x:c r="I63" t="n">
        <x:v>1.5</x:v>
      </x:c>
      <x:c r="J63" t="n">
        <x:f>L116*N116</x:f>
        <x:v>0</x:v>
      </x:c>
      <x:c r="K63" t="e">
        <x:f>O116/(1-($E$113/100))</x:f>
      </x:c>
      <x:c r="L63" t="str">
        <x:v>Yes</x:v>
      </x:c>
      <x:c r="M63" t="str">
        <x:v>Yes</x:v>
      </x:c>
      <x:c r="N63" t="str">
        <x:v>Yes</x:v>
      </x:c>
      <x:c r="O63" t="str">
        <x:v>No</x:v>
      </x:c>
    </x:row>
    <x:row r="64" ht="15" hidden="0" customHeight="1">
      <x:c r="A64" t="str">
        <x:v>Paint</x:v>
      </x:c>
      <x:c r="B64" t="n">
        <x:v>122</x:v>
      </x:c>
      <x:c r="C64" t="str">
        <x:v>09</x:v>
      </x:c>
      <x:c r="D64" t="str">
        <x:v>L</x:v>
      </x:c>
      <x:c r="E64" t="str">
        <x:v>Wall Height 1</x:v>
      </x:c>
      <x:c r="F64" t="str">
        <x:v>Ceiling Finish:  </x:v>
      </x:c>
      <x:c r="G64" t="str">
        <x:v>Flat Pine</x:v>
      </x:c>
      <x:c r="H64" t="str">
        <x:v>Wall Height:</x:v>
      </x:c>
      <x:c r="I64" t="str">
        <x:v>8'</x:v>
      </x:c>
      <x:c r="J64" t="e">
        <x:f>'RTM Paint Calc'!L11</x:f>
      </x:c>
      <x:c r="K64" t="n">
        <x:f>O122/(1-($E$120/100))</x:f>
        <x:v>0</x:v>
      </x:c>
      <x:c r="L64" t="str">
        <x:v>Yes</x:v>
      </x:c>
      <x:c r="M64" t="str">
        <x:v>Yes</x:v>
      </x:c>
      <x:c r="N64" t="str">
        <x:v>Yes</x:v>
      </x:c>
      <x:c r="O64" t="str">
        <x:v>No</x:v>
      </x:c>
    </x:row>
    <x:row r="65" ht="15" hidden="0" customHeight="1">
      <x:c r="A65" t="str">
        <x:v>Paint</x:v>
      </x:c>
      <x:c r="B65" t="n">
        <x:v>123</x:v>
      </x:c>
      <x:c r="C65" t="str">
        <x:v>09</x:v>
      </x:c>
      <x:c r="D65" t="str">
        <x:v>L</x:v>
      </x:c>
      <x:c r="E65" t="str">
        <x:v>Wall Height 2</x:v>
      </x:c>
      <x:c r="F65" t="str">
        <x:v>Ceiling Finish:  </x:v>
      </x:c>
      <x:c r="G65" t="str">
        <x:v>Flat Pine</x:v>
      </x:c>
      <x:c r="H65" t="str">
        <x:v>Wall Height:</x:v>
      </x:c>
      <x:c r="I65" t="str">
        <x:v>9'</x:v>
      </x:c>
      <x:c r="J65" t="e">
        <x:f>'RTM Paint Calc'!L18</x:f>
      </x:c>
      <x:c r="K65" t="n">
        <x:f>O123/(1-($E$120/100))</x:f>
        <x:v>0</x:v>
      </x:c>
      <x:c r="L65" t="str">
        <x:v>Yes</x:v>
      </x:c>
      <x:c r="M65" t="str">
        <x:v>Yes</x:v>
      </x:c>
      <x:c r="N65" t="str">
        <x:v>Yes</x:v>
      </x:c>
      <x:c r="O65" t="str">
        <x:v>No</x:v>
      </x:c>
    </x:row>
    <x:row r="66" ht="15" hidden="0" customHeight="1">
      <x:c r="A66" t="str">
        <x:v>Paint</x:v>
      </x:c>
      <x:c r="B66" t="n">
        <x:v>124</x:v>
      </x:c>
      <x:c r="C66" t="str">
        <x:v>09</x:v>
      </x:c>
      <x:c r="D66" t="str">
        <x:v>L</x:v>
      </x:c>
      <x:c r="E66" t="str">
        <x:v>Wall Height 3</x:v>
      </x:c>
      <x:c r="F66" t="str">
        <x:v>Ceiling Finish:  </x:v>
      </x:c>
      <x:c r="G66" t="str">
        <x:v>Vault Pine</x:v>
      </x:c>
      <x:c r="H66" t="str">
        <x:v>Wall Height:</x:v>
      </x:c>
      <x:c r="I66" t="str">
        <x:v>12'</x:v>
      </x:c>
      <x:c r="J66" t="e">
        <x:f>'RTM Paint Calc'!L25</x:f>
      </x:c>
      <x:c r="K66" t="n">
        <x:f>O124/(1-($E$120/100))</x:f>
        <x:v>0</x:v>
      </x:c>
      <x:c r="L66" t="str">
        <x:v>Yes</x:v>
      </x:c>
      <x:c r="M66" t="str">
        <x:v>Yes</x:v>
      </x:c>
      <x:c r="N66" t="str">
        <x:v>Yes</x:v>
      </x:c>
      <x:c r="O66" t="str">
        <x:v>No</x:v>
      </x:c>
    </x:row>
    <x:row r="67" ht="15" hidden="0" customHeight="1">
      <x:c r="A67" t="str">
        <x:v>Paint</x:v>
      </x:c>
      <x:c r="B67" t="n">
        <x:v>125</x:v>
      </x:c>
      <x:c r="C67" t="str">
        <x:v>09</x:v>
      </x:c>
      <x:c r="D67" t="str">
        <x:v>L</x:v>
      </x:c>
      <x:c r="E67" t="str">
        <x:v>Ceiling/Nickel Gap Paint</x:v>
      </x:c>
      <x:c r="F67"/>
      <x:c r="G67"/>
      <x:c r="H67" t="str">
        <x:v>Wall Height:</x:v>
      </x:c>
      <x:c r="I67" t="str">
        <x:v>8' - 9'</x:v>
      </x:c>
      <x:c r="J67" t="n">
        <x:f>IF(J125&gt;0,J125*'RTM Paint Calc'!T16,0)</x:f>
        <x:v>0</x:v>
      </x:c>
      <x:c r="K67" t="n">
        <x:f>O125/(1-($E$120/100))</x:f>
        <x:v>0</x:v>
      </x:c>
      <x:c r="L67" t="str">
        <x:v>Yes</x:v>
      </x:c>
      <x:c r="M67" t="str">
        <x:v>Yes</x:v>
      </x:c>
      <x:c r="N67" t="str">
        <x:v>Yes</x:v>
      </x:c>
      <x:c r="O67" t="str">
        <x:v>No</x:v>
      </x:c>
    </x:row>
    <x:row r="68" ht="15" hidden="0" customHeight="1">
      <x:c r="A68" t="str">
        <x:v>Paint</x:v>
      </x:c>
      <x:c r="B68" t="n">
        <x:v>126</x:v>
      </x:c>
      <x:c r="C68" t="str">
        <x:v>09</x:v>
      </x:c>
      <x:c r="D68" t="str">
        <x:v>L</x:v>
      </x:c>
      <x:c r="E68" t="str">
        <x:v>Pine Staining</x:v>
      </x:c>
      <x:c r="F68" t="str">
        <x:v>Pine Finish:  </x:v>
      </x:c>
      <x:c r="G68" t="str">
        <x:v>Knotty Pine</x:v>
      </x:c>
      <x:c r="H68" t="str">
        <x:v>Case Fill:</x:v>
      </x:c>
      <x:c r="I68" t="str">
        <x:v>Yes</x:v>
      </x:c>
      <x:c r="J68" t="e">
        <x:f>'RTM Paint Calc'!L39</x:f>
      </x:c>
      <x:c r="K68" t="n">
        <x:f>O126/(1-($E$120/100))</x:f>
        <x:v>0</x:v>
      </x:c>
      <x:c r="L68" t="str">
        <x:v>Yes</x:v>
      </x:c>
      <x:c r="M68" t="str">
        <x:v>Yes</x:v>
      </x:c>
      <x:c r="N68" t="str">
        <x:v>Yes</x:v>
      </x:c>
      <x:c r="O68" t="str">
        <x:v>No</x:v>
      </x:c>
    </x:row>
    <x:row r="69" ht="15" hidden="0" customHeight="1">
      <x:c r="A69" t="str">
        <x:v>Paint</x:v>
      </x:c>
      <x:c r="B69" t="n">
        <x:v>127</x:v>
      </x:c>
      <x:c r="C69" t="str">
        <x:v>09</x:v>
      </x:c>
      <x:c r="D69" t="str">
        <x:v>L</x:v>
      </x:c>
      <x:c r="E69" t="str">
        <x:v>Doors/Trim</x:v>
      </x:c>
      <x:c r="F69" t="str">
        <x:v>Doors Finish:  </x:v>
      </x:c>
      <x:c r="G69" t="str">
        <x:v>Light Paint</x:v>
      </x:c>
      <x:c r="H69" t="str">
        <x:v>Door Qty: </x:v>
      </x:c>
      <x:c r="I69" t="n">
        <x:v>0</x:v>
      </x:c>
      <x:c r="J69" t="e">
        <x:f>'RTM Paint Calc'!L34</x:f>
      </x:c>
      <x:c r="K69" t="n">
        <x:f>O127/(1-($E$120/100))</x:f>
        <x:v>0</x:v>
      </x:c>
      <x:c r="L69" t="str">
        <x:v>Yes</x:v>
      </x:c>
      <x:c r="M69" t="str">
        <x:v>Yes</x:v>
      </x:c>
      <x:c r="N69" t="str">
        <x:v>Yes</x:v>
      </x:c>
      <x:c r="O69" t="str">
        <x:v>No</x:v>
      </x:c>
    </x:row>
    <x:row r="70" ht="15" hidden="0" customHeight="1">
      <x:c r="A70" t="str">
        <x:v>Paint</x:v>
      </x:c>
      <x:c r="B70" t="n">
        <x:v>128</x:v>
      </x:c>
      <x:c r="C70" t="str">
        <x:v>09</x:v>
      </x:c>
      <x:c r="D70" t="str">
        <x:v>L</x:v>
      </x:c>
      <x:c r="E70" t="str">
        <x:v>Exterior Doors/Sidelights (Per Side)</x:v>
      </x:c>
      <x:c r="F70" t="str">
        <x:v>Door Qty:  </x:v>
      </x:c>
      <x:c r="G70"/>
      <x:c r="H70" t="str">
        <x:v>Sidelight Qty:</x:v>
      </x:c>
      <x:c r="I70" t="n">
        <x:v>0</x:v>
      </x:c>
      <x:c r="J70" t="e">
        <x:f>'RTM Paint Calc'!L44</x:f>
      </x:c>
      <x:c r="K70" t="n">
        <x:f>O128/(1-($E$120/100))</x:f>
        <x:v>0</x:v>
      </x:c>
      <x:c r="L70" t="str">
        <x:v>Yes</x:v>
      </x:c>
      <x:c r="M70" t="str">
        <x:v>Yes</x:v>
      </x:c>
      <x:c r="N70" t="str">
        <x:v>Yes</x:v>
      </x:c>
      <x:c r="O70" t="str">
        <x:v>No</x:v>
      </x:c>
    </x:row>
    <x:row r="71" ht="15" hidden="0" customHeight="1">
      <x:c r="A71" t="str">
        <x:v>Paint</x:v>
      </x:c>
      <x:c r="B71" t="n">
        <x:v>129</x:v>
      </x:c>
      <x:c r="C71" t="str">
        <x:v>09</x:v>
      </x:c>
      <x:c r="D71" t="str">
        <x:v>L</x:v>
      </x:c>
      <x:c r="E71" t="str">
        <x:v>Custom MDF Shelving</x:v>
      </x:c>
      <x:c r="F71" t="str">
        <x:v>Approx. Shelf Qty:  </x:v>
      </x:c>
      <x:c r="G71"/>
      <x:c r="H71"/>
      <x:c r="I71"/>
      <x:c r="J71" t="e">
        <x:f>'RTM Paint Calc'!L32</x:f>
      </x:c>
      <x:c r="K71" t="n">
        <x:f>O129/(1-($E$120/100))</x:f>
        <x:v>0</x:v>
      </x:c>
      <x:c r="L71" t="str">
        <x:v>Yes</x:v>
      </x:c>
      <x:c r="M71" t="str">
        <x:v>Yes</x:v>
      </x:c>
      <x:c r="N71" t="str">
        <x:v>Yes</x:v>
      </x:c>
      <x:c r="O71" t="str">
        <x:v>No</x:v>
      </x:c>
    </x:row>
    <x:row r="72" ht="15" hidden="0" customHeight="1">
      <x:c r="A72" t="str">
        <x:v>Finishing</x:v>
      </x:c>
      <x:c r="B72" t="n">
        <x:v>135</x:v>
      </x:c>
      <x:c r="C72" t="str">
        <x:v>06</x:v>
      </x:c>
      <x:c r="D72" t="str">
        <x:v>L</x:v>
      </x:c>
      <x:c r="E72" t="str">
        <x:v>House</x:v>
      </x:c>
      <x:c r="F72" t="str">
        <x:v>(Good = $3, Better = $4, Best = $5-$6 Per SqFt)</x:v>
      </x:c>
      <x:c r="G72" t="e">
        <x:f>Floor_SqFt</x:f>
      </x:c>
      <x:c r="H72" t="str">
        <x:v>Floor Sq/Ft</x:v>
      </x:c>
      <x:c r="I72" t="n">
        <x:v>3.5</x:v>
      </x:c>
      <x:c r="J72" t="n">
        <x:f>L135*N135</x:f>
        <x:v>0</x:v>
      </x:c>
      <x:c r="K72" t="n">
        <x:f>O135/(1-($E$133/100))</x:f>
        <x:v>0</x:v>
      </x:c>
      <x:c r="L72" t="str">
        <x:v>Yes</x:v>
      </x:c>
      <x:c r="M72" t="str">
        <x:v>Yes</x:v>
      </x:c>
      <x:c r="N72" t="str">
        <x:v>Yes</x:v>
      </x:c>
      <x:c r="O72" t="str">
        <x:v>No</x:v>
      </x:c>
    </x:row>
    <x:row r="73" ht="15" hidden="0" customHeight="1">
      <x:c r="A73" t="str">
        <x:v>Finishing</x:v>
      </x:c>
      <x:c r="B73" t="n">
        <x:v>136</x:v>
      </x:c>
      <x:c r="C73" t="str">
        <x:v>06</x:v>
      </x:c>
      <x:c r="D73" t="str">
        <x:v>L</x:v>
      </x:c>
      <x:c r="E73" t="str">
        <x:v>Pine Ceilings</x:v>
      </x:c>
      <x:c r="F73" t="str">
        <x:v>(8'-10' = $3.50, 11'-13' = $4.50, 14'-20' = $5.50, &lt; 20' = Talk To Installer)</x:v>
      </x:c>
      <x:c r="G73" t="str">
        <x:f>L23</x:f>
        <x:v>Yes</x:v>
      </x:c>
      <x:c r="H73" t="str">
        <x:v>Floor Sq/Ft</x:v>
      </x:c>
      <x:c r="I73" t="n">
        <x:v>3.5</x:v>
      </x:c>
      <x:c r="J73" t="n">
        <x:f>L136*N136</x:f>
        <x:v>0</x:v>
      </x:c>
      <x:c r="K73" t="n">
        <x:f>O136/(1-($E$133/100))</x:f>
        <x:v>0</x:v>
      </x:c>
      <x:c r="L73" t="str">
        <x:v>Yes</x:v>
      </x:c>
      <x:c r="M73" t="str">
        <x:v>Yes</x:v>
      </x:c>
      <x:c r="N73" t="str">
        <x:v>Yes</x:v>
      </x:c>
      <x:c r="O73" t="str">
        <x:v>No</x:v>
      </x:c>
    </x:row>
    <x:row r="74" ht="15" hidden="0" customHeight="1">
      <x:c r="A74" t="str">
        <x:v>Finishing</x:v>
      </x:c>
      <x:c r="B74" t="n">
        <x:v>137</x:v>
      </x:c>
      <x:c r="C74" t="str">
        <x:v>06</x:v>
      </x:c>
      <x:c r="D74" t="str">
        <x:v>L</x:v>
      </x:c>
      <x:c r="E74" t="str">
        <x:v>Ceiling Tile</x:v>
      </x:c>
      <x:c r="F74" t="str">
        <x:v>($2 - $3 Per Sq/Ft)</x:v>
      </x:c>
      <x:c r="G74"/>
      <x:c r="H74" t="str">
        <x:v>Floor Sq/Ft</x:v>
      </x:c>
      <x:c r="I74" t="n">
        <x:v>2.25</x:v>
      </x:c>
      <x:c r="J74" t="n">
        <x:f>L137*N137</x:f>
        <x:v>0</x:v>
      </x:c>
      <x:c r="K74" t="n">
        <x:f>O137/(1-($E$133/100))</x:f>
        <x:v>0</x:v>
      </x:c>
      <x:c r="L74" t="str">
        <x:v>Yes</x:v>
      </x:c>
      <x:c r="M74" t="str">
        <x:v>Yes</x:v>
      </x:c>
      <x:c r="N74" t="str">
        <x:v>Yes</x:v>
      </x:c>
      <x:c r="O74" t="str">
        <x:v>No</x:v>
      </x:c>
    </x:row>
    <x:row r="75" ht="15" hidden="0" customHeight="1">
      <x:c r="A75" t="str">
        <x:v>Cabinets</x:v>
      </x:c>
      <x:c r="B75" t="n">
        <x:v>144</x:v>
      </x:c>
      <x:c r="C75" t="str">
        <x:v>06</x:v>
      </x:c>
      <x:c r="D75" t="str">
        <x:v>M</x:v>
      </x:c>
      <x:c r="E75" t="str">
        <x:v>Cabinetry Allowance</x:v>
      </x:c>
      <x:c r="F75" t="str">
        <x:v>Click Here For Details         </x:v>
      </x:c>
      <x:c r="G75" t="n">
        <x:v>0</x:v>
      </x:c>
      <x:c r="H75" t="str">
        <x:v>Ln/Ft</x:v>
      </x:c>
      <x:c r="I75" t="n">
        <x:v>450</x:v>
      </x:c>
      <x:c r="J75" t="n">
        <x:f>L144*N144</x:f>
        <x:v>0</x:v>
      </x:c>
      <x:c r="K75" t="n">
        <x:f>O144/(1-($E$142/100))</x:f>
        <x:v>0</x:v>
      </x:c>
      <x:c r="L75" t="str">
        <x:v>Yes</x:v>
      </x:c>
      <x:c r="M75" t="str">
        <x:v>Yes</x:v>
      </x:c>
      <x:c r="N75" t="str">
        <x:v>Yes</x:v>
      </x:c>
      <x:c r="O75" t="str">
        <x:v>No</x:v>
      </x:c>
    </x:row>
    <x:row r="76" ht="15" hidden="0" customHeight="1">
      <x:c r="A76" t="str">
        <x:v>Cabinets</x:v>
      </x:c>
      <x:c r="B76" t="n">
        <x:v>145</x:v>
      </x:c>
      <x:c r="C76" t="str">
        <x:v>06</x:v>
      </x:c>
      <x:c r="D76" t="str">
        <x:v>M&amp;L</x:v>
      </x:c>
      <x:c r="E76" t="str">
        <x:v>Countertops Allowance</x:v>
      </x:c>
      <x:c r="F76" t="str">
        <x:v>Click Here For Details         </x:v>
      </x:c>
      <x:c r="G76" t="n">
        <x:v>0</x:v>
      </x:c>
      <x:c r="H76" t="str">
        <x:v>Ln/Ft</x:v>
      </x:c>
      <x:c r="I76" t="n">
        <x:v>80</x:v>
      </x:c>
      <x:c r="J76" t="n">
        <x:f>L145*N145</x:f>
        <x:v>0</x:v>
      </x:c>
      <x:c r="K76" t="n">
        <x:f>O145/(1-($E$142/100))</x:f>
        <x:v>0</x:v>
      </x:c>
      <x:c r="L76" t="str">
        <x:v>Yes</x:v>
      </x:c>
      <x:c r="M76" t="str">
        <x:v>Yes</x:v>
      </x:c>
      <x:c r="N76" t="str">
        <x:v>Yes</x:v>
      </x:c>
      <x:c r="O76" t="str">
        <x:v>No</x:v>
      </x:c>
    </x:row>
    <x:row r="77" ht="15" hidden="0" customHeight="1">
      <x:c r="A77" t="str">
        <x:v>Cabinets</x:v>
      </x:c>
      <x:c r="B77" t="n">
        <x:v>146</x:v>
      </x:c>
      <x:c r="C77" t="str">
        <x:v>06</x:v>
      </x:c>
      <x:c r="D77" t="str">
        <x:v>L</x:v>
      </x:c>
      <x:c r="E77" t="str">
        <x:v>Cabinetry &amp; Counter Install</x:v>
      </x:c>
      <x:c r="F77" t="str">
        <x:v>Click Here For Details         </x:v>
      </x:c>
      <x:c r="G77" t="n">
        <x:f>L144</x:f>
        <x:v>0</x:v>
      </x:c>
      <x:c r="H77" t="str">
        <x:v>Ln/Ft</x:v>
      </x:c>
      <x:c r="I77" t="n">
        <x:v>90</x:v>
      </x:c>
      <x:c r="J77" t="n">
        <x:f>L146*N146</x:f>
        <x:v>0</x:v>
      </x:c>
      <x:c r="K77" t="n">
        <x:f>O146/(1-($E$142/100))</x:f>
        <x:v>0</x:v>
      </x:c>
      <x:c r="L77" t="str">
        <x:v>Yes</x:v>
      </x:c>
      <x:c r="M77" t="str">
        <x:v>Yes</x:v>
      </x:c>
      <x:c r="N77" t="str">
        <x:v>Yes</x:v>
      </x:c>
      <x:c r="O77" t="str">
        <x:v>No</x:v>
      </x:c>
    </x:row>
    <x:row r="78" ht="15" hidden="0" customHeight="1">
      <x:c r="A78" t="str">
        <x:v>Flooring</x:v>
      </x:c>
      <x:c r="B78" t="n">
        <x:v>152</x:v>
      </x:c>
      <x:c r="C78" t="str">
        <x:v>09</x:v>
      </x:c>
      <x:c r="D78" t="str">
        <x:v>M&amp;L</x:v>
      </x:c>
      <x:c r="E78" t="str">
        <x:v>House Allowance</x:v>
      </x:c>
      <x:c r="F78" t="str">
        <x:v>Click Here For Details         </x:v>
      </x:c>
      <x:c r="G78" t="e">
        <x:f>Floor_SqFt</x:f>
      </x:c>
      <x:c r="H78" t="str">
        <x:v>Floor Sq/Ft</x:v>
      </x:c>
      <x:c r="I78" t="n">
        <x:v>8</x:v>
      </x:c>
      <x:c r="J78" t="n">
        <x:f>L152*N152</x:f>
        <x:v>0</x:v>
      </x:c>
      <x:c r="K78" t="n">
        <x:f>O152/(1-($E$150/100))</x:f>
        <x:v>0</x:v>
      </x:c>
      <x:c r="L78" t="str">
        <x:v>Yes</x:v>
      </x:c>
      <x:c r="M78" t="str">
        <x:v>Yes</x:v>
      </x:c>
      <x:c r="N78" t="str">
        <x:v>Yes</x:v>
      </x:c>
      <x:c r="O78" t="str">
        <x:v>No</x:v>
      </x:c>
    </x:row>
    <x:row r="79" ht="15" hidden="0" customHeight="1">
      <x:c r="A79" t="str">
        <x:v>Flooring</x:v>
      </x:c>
      <x:c r="B79" t="n">
        <x:v>153</x:v>
      </x:c>
      <x:c r="C79" t="str">
        <x:v>09</x:v>
      </x:c>
      <x:c r="D79" t="str">
        <x:v>M&amp;L</x:v>
      </x:c>
      <x:c r="E79" t="str">
        <x:v>Tile Shower Allowance (Click To View Pricing)</x:v>
      </x:c>
      <x:c r="F79" t="str">
        <x:v>($18 - $30 Depending On Tile Size)</x:v>
      </x:c>
      <x:c r="G79" t="n">
        <x:v>0</x:v>
      </x:c>
      <x:c r="H79" t="str">
        <x:v>Wall Sq/Ft</x:v>
      </x:c>
      <x:c r="I79" t="n">
        <x:v>20</x:v>
      </x:c>
      <x:c r="J79" t="n">
        <x:f>L153*N153</x:f>
        <x:v>0</x:v>
      </x:c>
      <x:c r="K79" t="n">
        <x:f>O153/(1-($E$150/100))</x:f>
        <x:v>0</x:v>
      </x:c>
      <x:c r="L79" t="str">
        <x:v>Yes</x:v>
      </x:c>
      <x:c r="M79" t="str">
        <x:v>Yes</x:v>
      </x:c>
      <x:c r="N79" t="str">
        <x:v>Yes</x:v>
      </x:c>
      <x:c r="O79" t="str">
        <x:v>No</x:v>
      </x:c>
    </x:row>
    <x:row r="80" ht="15" hidden="0" customHeight="1">
      <x:c r="A80" t="str">
        <x:v>Flooring</x:v>
      </x:c>
      <x:c r="B80" t="n">
        <x:v>154</x:v>
      </x:c>
      <x:c r="C80" t="str">
        <x:v>09</x:v>
      </x:c>
      <x:c r="D80" t="str">
        <x:v>M&amp;L</x:v>
      </x:c>
      <x:c r="E80" t="str">
        <x:v>6" Vanity Backsplash Allowance (Click To View Pricing) </x:v>
      </x:c>
      <x:c r="F80" t="str">
        <x:v>($35 - $45 Depending On Tile Size, Min $500)</x:v>
      </x:c>
      <x:c r="G80"/>
      <x:c r="H80" t="str">
        <x:v>Wall Sq/Ft</x:v>
      </x:c>
      <x:c r="I80" t="n">
        <x:v>40</x:v>
      </x:c>
      <x:c r="J80" t="n">
        <x:f>L154*N154</x:f>
        <x:v>0</x:v>
      </x:c>
      <x:c r="K80" t="n">
        <x:f>O154/(1-($E$150/100))</x:f>
        <x:v>0</x:v>
      </x:c>
      <x:c r="L80" t="str">
        <x:v>Yes</x:v>
      </x:c>
      <x:c r="M80" t="str">
        <x:v>Yes</x:v>
      </x:c>
      <x:c r="N80" t="str">
        <x:v>Yes</x:v>
      </x:c>
      <x:c r="O80" t="str">
        <x:v>No</x:v>
      </x:c>
    </x:row>
    <x:row r="81" ht="15" hidden="0" customHeight="1">
      <x:c r="A81" t="str">
        <x:v>Flooring</x:v>
      </x:c>
      <x:c r="B81" t="n">
        <x:v>155</x:v>
      </x:c>
      <x:c r="C81" t="str">
        <x:v>09</x:v>
      </x:c>
      <x:c r="D81" t="str">
        <x:v>M&amp;L</x:v>
      </x:c>
      <x:c r="E81" t="str">
        <x:v>18" Kitchen Backsplash Allowance (Click To View Pricing)</x:v>
      </x:c>
      <x:c r="F81" t="str">
        <x:v>($35 - $45 Depending On Tile Size, Min $500)</x:v>
      </x:c>
      <x:c r="G81" t="n">
        <x:v>0</x:v>
      </x:c>
      <x:c r="H81" t="str">
        <x:v>Wall Sq/Ft</x:v>
      </x:c>
      <x:c r="I81" t="n">
        <x:v>40</x:v>
      </x:c>
      <x:c r="J81" t="n">
        <x:f>L155*N155</x:f>
        <x:v>0</x:v>
      </x:c>
      <x:c r="K81" t="n">
        <x:f>O155/(1-($E$150/100))</x:f>
        <x:v>0</x:v>
      </x:c>
      <x:c r="L81" t="str">
        <x:v>Yes</x:v>
      </x:c>
      <x:c r="M81" t="str">
        <x:v>Yes</x:v>
      </x:c>
      <x:c r="N81" t="str">
        <x:v>Yes</x:v>
      </x:c>
      <x:c r="O81" t="str">
        <x:v>No</x:v>
      </x:c>
    </x:row>
    <x:row r="82" ht="15" hidden="0" customHeight="1">
      <x:c r="A82" t="str">
        <x:v>Flooring</x:v>
      </x:c>
      <x:c r="B82" t="n">
        <x:v>156</x:v>
      </x:c>
      <x:c r="C82" t="str">
        <x:v>09</x:v>
      </x:c>
      <x:c r="D82" t="str">
        <x:v>M&amp;L</x:v>
      </x:c>
      <x:c r="E82" t="str">
        <x:v>Custom Tile Shower (Click To View Pricing)</x:v>
      </x:c>
      <x:c r="F82"/>
      <x:c r="G82"/>
      <x:c r="H82" t="str">
        <x:v>Package</x:v>
      </x:c>
      <x:c r="I82"/>
      <x:c r="J82" t="n">
        <x:f>L156*N156</x:f>
        <x:v>0</x:v>
      </x:c>
      <x:c r="K82" t="n">
        <x:f>O156/(1-($E$150/100))</x:f>
        <x:v>0</x:v>
      </x:c>
      <x:c r="L82" t="str">
        <x:v>Yes</x:v>
      </x:c>
      <x:c r="M82" t="str">
        <x:v>Yes</x:v>
      </x:c>
      <x:c r="N82" t="str">
        <x:v>Yes</x:v>
      </x:c>
      <x:c r="O82" t="str">
        <x:v>No</x:v>
      </x:c>
    </x:row>
    <x:row r="83" ht="15" hidden="0" customHeight="1">
      <x:c r="A83" t="str">
        <x:v>Custom Work</x:v>
      </x:c>
      <x:c r="B83" t="n">
        <x:v>163</x:v>
      </x:c>
      <x:c r="C83" t="str">
        <x:v>06</x:v>
      </x:c>
      <x:c r="D83" t="str">
        <x:v>M&amp;L</x:v>
      </x:c>
      <x:c r="E83" t="str">
        <x:v>Interior Railing </x:v>
      </x:c>
      <x:c r="F83" t="str">
        <x:v>($250 - $300 Per Lin/Ft)</x:v>
      </x:c>
      <x:c r="G83" t="n">
        <x:v>0</x:v>
      </x:c>
      <x:c r="H83" t="str">
        <x:v>Ln/Ft</x:v>
      </x:c>
      <x:c r="I83" t="n">
        <x:v>250</x:v>
      </x:c>
      <x:c r="J83" t="n">
        <x:f>L163*N163</x:f>
        <x:v>0</x:v>
      </x:c>
      <x:c r="K83" t="n">
        <x:f>O163/(1-($E$161/100))</x:f>
        <x:v>0</x:v>
      </x:c>
      <x:c r="L83" t="str">
        <x:v>Yes</x:v>
      </x:c>
      <x:c r="M83" t="str">
        <x:v>Yes</x:v>
      </x:c>
      <x:c r="N83" t="str">
        <x:v>Yes</x:v>
      </x:c>
      <x:c r="O83" t="str">
        <x:v>No</x:v>
      </x:c>
    </x:row>
    <x:row r="84" ht="15" hidden="0" customHeight="1">
      <x:c r="A84" t="str">
        <x:v>Custom Work</x:v>
      </x:c>
      <x:c r="B84" t="n">
        <x:v>164</x:v>
      </x:c>
      <x:c r="C84" t="str">
        <x:v>04</x:v>
      </x:c>
      <x:c r="D84" t="str">
        <x:v>M&amp;L</x:v>
      </x:c>
      <x:c r="E84" t="str">
        <x:v>Exterior Stone Budget</x:v>
      </x:c>
      <x:c r="F84"/>
      <x:c r="G84"/>
      <x:c r="H84" t="str">
        <x:v>Wall Sq/Ft</x:v>
      </x:c>
      <x:c r="I84" t="n">
        <x:v>50</x:v>
      </x:c>
      <x:c r="J84" t="n">
        <x:f>(L164*N164)+(K164*100)</x:f>
        <x:v>0</x:v>
      </x:c>
      <x:c r="K84" t="e">
        <x:f>O164/(1-($E$79/100))</x:f>
      </x:c>
      <x:c r="L84" t="str">
        <x:v>Yes</x:v>
      </x:c>
      <x:c r="M84" t="str">
        <x:v>Yes</x:v>
      </x:c>
      <x:c r="N84" t="str">
        <x:v>Yes</x:v>
      </x:c>
      <x:c r="O84" t="str">
        <x:v>No</x:v>
      </x:c>
    </x:row>
    <x:row r="85" ht="15" hidden="0" customHeight="1">
      <x:c r="A85" t="str">
        <x:v>Custom Work</x:v>
      </x:c>
      <x:c r="B85" t="n">
        <x:v>165</x:v>
      </x:c>
      <x:c r="C85" t="str">
        <x:v>04</x:v>
      </x:c>
      <x:c r="D85" t="str">
        <x:v>M&amp;L</x:v>
      </x:c>
      <x:c r="E85" t="str">
        <x:v>Interior Stone Budget</x:v>
      </x:c>
      <x:c r="F85" t="n">
        <x:v>0</x:v>
      </x:c>
      <x:c r="G85" t="n">
        <x:v>0</x:v>
      </x:c>
      <x:c r="H85" t="str">
        <x:v>Wall Sq/Ft</x:v>
      </x:c>
      <x:c r="I85" t="n">
        <x:v>50</x:v>
      </x:c>
      <x:c r="J85" t="n">
        <x:f>L165*N165</x:f>
        <x:v>0</x:v>
      </x:c>
      <x:c r="K85" t="n">
        <x:f>O165/(1-($E$161/100))</x:f>
        <x:v>0</x:v>
      </x:c>
      <x:c r="L85" t="str">
        <x:v>Yes</x:v>
      </x:c>
      <x:c r="M85" t="str">
        <x:v>Yes</x:v>
      </x:c>
      <x:c r="N85" t="str">
        <x:v>Yes</x:v>
      </x:c>
      <x:c r="O85" t="str">
        <x:v>No</x:v>
      </x:c>
    </x:row>
    <x:row r="86" ht="15" hidden="0" customHeight="1">
      <x:c r="A86" t="str">
        <x:v>Custom Work</x:v>
      </x:c>
      <x:c r="B86" t="n">
        <x:v>166</x:v>
      </x:c>
      <x:c r="C86" t="str">
        <x:v>06</x:v>
      </x:c>
      <x:c r="D86" t="str">
        <x:v>M&amp;L</x:v>
      </x:c>
      <x:c r="E86" t="str">
        <x:v>Standard Barn Door Package</x:v>
      </x:c>
      <x:c r="F86" t="str">
        <x:v>(Includes Track &amp; Hardware)</x:v>
      </x:c>
      <x:c r="G86"/>
      <x:c r="H86" t="str">
        <x:v>Package</x:v>
      </x:c>
      <x:c r="I86" t="n">
        <x:v>800</x:v>
      </x:c>
      <x:c r="J86" t="n">
        <x:f>L166*N166</x:f>
        <x:v>0</x:v>
      </x:c>
      <x:c r="K86" t="n">
        <x:f>O166/(1-($E$161/100))</x:f>
        <x:v>0</x:v>
      </x:c>
      <x:c r="L86" t="str">
        <x:v>Yes</x:v>
      </x:c>
      <x:c r="M86" t="str">
        <x:v>Yes</x:v>
      </x:c>
      <x:c r="N86" t="str">
        <x:v>Yes</x:v>
      </x:c>
      <x:c r="O86" t="str">
        <x:v>No</x:v>
      </x:c>
    </x:row>
    <x:row r="87" ht="15" hidden="0" customHeight="1">
      <x:c r="A87" t="str">
        <x:v>Custom Work</x:v>
      </x:c>
      <x:c r="B87" t="n">
        <x:v>167</x:v>
      </x:c>
      <x:c r="C87" t="str">
        <x:v>06</x:v>
      </x:c>
      <x:c r="D87" t="str">
        <x:v>M&amp;L</x:v>
      </x:c>
      <x:c r="E87" t="str">
        <x:v>Standard Pine Barn Door Package</x:v>
      </x:c>
      <x:c r="F87" t="str">
        <x:v>(Includes Track &amp; Hardware)</x:v>
      </x:c>
      <x:c r="G87"/>
      <x:c r="H87" t="str">
        <x:v>Package</x:v>
      </x:c>
      <x:c r="I87" t="n">
        <x:v>1200</x:v>
      </x:c>
      <x:c r="J87" t="n">
        <x:f>L167*N167</x:f>
        <x:v>0</x:v>
      </x:c>
      <x:c r="K87" t="n">
        <x:f>O167/(1-($E$161/100))</x:f>
        <x:v>0</x:v>
      </x:c>
      <x:c r="L87" t="str">
        <x:v>Yes</x:v>
      </x:c>
      <x:c r="M87" t="str">
        <x:v>Yes</x:v>
      </x:c>
      <x:c r="N87" t="str">
        <x:v>Yes</x:v>
      </x:c>
      <x:c r="O87" t="str">
        <x:v>No</x:v>
      </x:c>
    </x:row>
    <x:row r="88" ht="15" hidden="0" customHeight="1">
      <x:c r="A88" t="str">
        <x:v>Custom Work</x:v>
      </x:c>
      <x:c r="B88" t="n">
        <x:v>168</x:v>
      </x:c>
      <x:c r="C88" t="str">
        <x:v>06</x:v>
      </x:c>
      <x:c r="D88" t="str">
        <x:v>M&amp;L</x:v>
      </x:c>
      <x:c r="E88" t="str">
        <x:v>Mantles</x:v>
      </x:c>
      <x:c r="F88" t="str">
        <x:v>($1000 - $1800)</x:v>
      </x:c>
      <x:c r="G88" t="n">
        <x:v>0</x:v>
      </x:c>
      <x:c r="H88" t="str">
        <x:v>Per Unit</x:v>
      </x:c>
      <x:c r="I88" t="n">
        <x:v>1500</x:v>
      </x:c>
      <x:c r="J88" t="n">
        <x:f>L168*N168</x:f>
        <x:v>0</x:v>
      </x:c>
      <x:c r="K88" t="n">
        <x:f>O168/(1-($E$161/100))</x:f>
        <x:v>0</x:v>
      </x:c>
      <x:c r="L88" t="str">
        <x:v>Yes</x:v>
      </x:c>
      <x:c r="M88" t="str">
        <x:v>Yes</x:v>
      </x:c>
      <x:c r="N88" t="str">
        <x:v>Yes</x:v>
      </x:c>
      <x:c r="O88" t="str">
        <x:v>No</x:v>
      </x:c>
    </x:row>
    <x:row r="89" ht="15" hidden="0" customHeight="1">
      <x:c r="A89" t="str">
        <x:v>Custom Work</x:v>
      </x:c>
      <x:c r="B89" t="n">
        <x:v>169</x:v>
      </x:c>
      <x:c r="C89" t="str">
        <x:v>06</x:v>
      </x:c>
      <x:c r="D89" t="str">
        <x:v>M&amp;L</x:v>
      </x:c>
      <x:c r="E89" t="str">
        <x:v>Milled Interior Beams/Posts</x:v>
      </x:c>
      <x:c r="F89" t="str">
        <x:v>$70-$85/LnFt, Min 50'</x:v>
      </x:c>
      <x:c r="G89"/>
      <x:c r="H89" t="str">
        <x:v>Ln/Ft</x:v>
      </x:c>
      <x:c r="I89" t="n">
        <x:v>75</x:v>
      </x:c>
      <x:c r="J89" t="n">
        <x:f>L169*N169</x:f>
        <x:v>0</x:v>
      </x:c>
      <x:c r="K89" t="n">
        <x:f>O169/(1-($E$161/100))</x:f>
        <x:v>0</x:v>
      </x:c>
      <x:c r="L89" t="str">
        <x:v>Yes</x:v>
      </x:c>
      <x:c r="M89" t="str">
        <x:v>Yes</x:v>
      </x:c>
      <x:c r="N89" t="str">
        <x:v>Yes</x:v>
      </x:c>
      <x:c r="O89" t="str">
        <x:v>No</x:v>
      </x:c>
    </x:row>
    <x:row r="90" ht="15" hidden="0" customHeight="1">
      <x:c r="A90" t="str">
        <x:v>Custom Work</x:v>
      </x:c>
      <x:c r="B90" t="n">
        <x:v>170</x:v>
      </x:c>
      <x:c r="C90" t="str">
        <x:v>06</x:v>
      </x:c>
      <x:c r="D90" t="str">
        <x:v>M&amp;L</x:v>
      </x:c>
      <x:c r="E90" t="str">
        <x:v>Exterior Decorative Trusses</x:v>
      </x:c>
      <x:c r="F90" t="str">
        <x:v>($750 - $1000 Each)</x:v>
      </x:c>
      <x:c r="G90" t="n">
        <x:v>0</x:v>
      </x:c>
      <x:c r="H90" t="str">
        <x:v>Pce</x:v>
      </x:c>
      <x:c r="I90" t="n">
        <x:v>750</x:v>
      </x:c>
      <x:c r="J90" t="n">
        <x:f>L170*N170</x:f>
        <x:v>0</x:v>
      </x:c>
      <x:c r="K90" t="n">
        <x:f>O170/(1-($E$161/100))</x:f>
        <x:v>0</x:v>
      </x:c>
      <x:c r="L90" t="str">
        <x:v>Yes</x:v>
      </x:c>
      <x:c r="M90" t="str">
        <x:v>Yes</x:v>
      </x:c>
      <x:c r="N90" t="str">
        <x:v>Yes</x:v>
      </x:c>
      <x:c r="O90" t="str">
        <x:v>No</x:v>
      </x:c>
    </x:row>
    <x:row r="91" ht="15" hidden="0" customHeight="1">
      <x:c r="A91" t="str">
        <x:v>Custom Work</x:v>
      </x:c>
      <x:c r="B91" t="n">
        <x:v>171</x:v>
      </x:c>
      <x:c r="C91" t="str">
        <x:v>06</x:v>
      </x:c>
      <x:c r="D91" t="str">
        <x:v>M&amp;L</x:v>
      </x:c>
      <x:c r="E91" t="str">
        <x:v>Shiplap Walls</x:v>
      </x:c>
      <x:c r="F91" t="str">
        <x:v>(MDF 7.5" = $3.00 Per Sq/Ft,  Nickel/Pine = $4 Per Sq/Ft)</x:v>
      </x:c>
      <x:c r="G91" t="n">
        <x:v>0</x:v>
      </x:c>
      <x:c r="H91" t="str">
        <x:v>Wall Sq/Ft</x:v>
      </x:c>
      <x:c r="I91" t="n">
        <x:v>10</x:v>
      </x:c>
      <x:c r="J91" t="n">
        <x:f>L171*N171</x:f>
        <x:v>0</x:v>
      </x:c>
      <x:c r="K91" t="n">
        <x:f>O171/(1-($E$161/100))</x:f>
        <x:v>0</x:v>
      </x:c>
      <x:c r="L91" t="str">
        <x:v>Yes</x:v>
      </x:c>
      <x:c r="M91" t="str">
        <x:v>Yes</x:v>
      </x:c>
      <x:c r="N91" t="str">
        <x:v>Yes</x:v>
      </x:c>
      <x:c r="O91" t="str">
        <x:v>No</x:v>
      </x:c>
    </x:row>
    <x:row r="92" ht="15" hidden="0" customHeight="1">
      <x:c r="A92" t="str">
        <x:v>Custom Work</x:v>
      </x:c>
      <x:c r="B92" t="n">
        <x:v>172</x:v>
      </x:c>
      <x:c r="C92" t="str">
        <x:v>06</x:v>
      </x:c>
      <x:c r="D92" t="str">
        <x:v>M&amp;L</x:v>
      </x:c>
      <x:c r="E92" t="str">
        <x:v>Custom Built Cabinetry                                         </x:v>
      </x:c>
      <x:c r="F92" t="str">
        <x:v>($500 - $600)</x:v>
      </x:c>
      <x:c r="G92"/>
      <x:c r="H92" t="str">
        <x:v>Ln/Ft</x:v>
      </x:c>
      <x:c r="I92" t="n">
        <x:v>500</x:v>
      </x:c>
      <x:c r="J92" t="n">
        <x:f>L172*N172</x:f>
        <x:v>0</x:v>
      </x:c>
      <x:c r="K92" t="n">
        <x:f>O172/(1-($E$161/100))</x:f>
        <x:v>0</x:v>
      </x:c>
      <x:c r="L92" t="str">
        <x:v>Yes</x:v>
      </x:c>
      <x:c r="M92" t="str">
        <x:v>Yes</x:v>
      </x:c>
      <x:c r="N92" t="str">
        <x:v>Yes</x:v>
      </x:c>
      <x:c r="O92" t="str">
        <x:v>No</x:v>
      </x:c>
    </x:row>
    <x:row r="93" ht="15" hidden="0" customHeight="1">
      <x:c r="A93" t="str">
        <x:v>Custom Work</x:v>
      </x:c>
      <x:c r="B93" t="n">
        <x:v>173</x:v>
      </x:c>
      <x:c r="C93" t="str">
        <x:v>06</x:v>
      </x:c>
      <x:c r="D93" t="str">
        <x:v>M&amp;L</x:v>
      </x:c>
      <x:c r="E93" t="str">
        <x:v>Wainscotting</x:v>
      </x:c>
      <x:c r="F93"/>
      <x:c r="G93"/>
      <x:c r="H93" t="str">
        <x:v>Wall Sq/Ft</x:v>
      </x:c>
      <x:c r="I93"/>
      <x:c r="J93" t="n">
        <x:f>L173*N173</x:f>
        <x:v>0</x:v>
      </x:c>
      <x:c r="K93" t="n">
        <x:f>O173/(1-($E$161/100))</x:f>
        <x:v>0</x:v>
      </x:c>
      <x:c r="L93" t="str">
        <x:v>Yes</x:v>
      </x:c>
      <x:c r="M93" t="str">
        <x:v>Yes</x:v>
      </x:c>
      <x:c r="N93" t="str">
        <x:v>Yes</x:v>
      </x:c>
      <x:c r="O93" t="str">
        <x:v>No</x:v>
      </x:c>
    </x:row>
    <x:row r="94" ht="15" hidden="0" customHeight="1">
      <x:c r="A94" t="str">
        <x:v>Custom Work</x:v>
      </x:c>
      <x:c r="B94" t="n">
        <x:v>174</x:v>
      </x:c>
      <x:c r="C94" t="str">
        <x:v>06</x:v>
      </x:c>
      <x:c r="D94" t="str">
        <x:v>M&amp;L</x:v>
      </x:c>
      <x:c r="E94" t="str">
        <x:v>Custom MDF Shelving Upgrade</x:v>
      </x:c>
      <x:c r="F94" t="str">
        <x:v>(Includes Material Upgrade, Install Labor)</x:v>
      </x:c>
      <x:c r="G94" t="n">
        <x:v>0</x:v>
      </x:c>
      <x:c r="H94" t="str">
        <x:v>Per Shelf</x:v>
      </x:c>
      <x:c r="I94" t="n">
        <x:v>25</x:v>
      </x:c>
      <x:c r="J94" t="n">
        <x:f>L174*N174</x:f>
        <x:v>0</x:v>
      </x:c>
      <x:c r="K94" t="n">
        <x:f>O174/(1-($E$161/100))</x:f>
        <x:v>0</x:v>
      </x:c>
      <x:c r="L94" t="str">
        <x:v>Yes</x:v>
      </x:c>
      <x:c r="M94" t="str">
        <x:v>Yes</x:v>
      </x:c>
      <x:c r="N94" t="str">
        <x:v>Yes</x:v>
      </x:c>
      <x:c r="O94" t="str">
        <x:v>No</x:v>
      </x:c>
    </x:row>
    <x:row r="95" ht="15" hidden="0" customHeight="1">
      <x:c r="A95" t="str">
        <x:v>Custom Work</x:v>
      </x:c>
      <x:c r="B95" t="n">
        <x:v>175</x:v>
      </x:c>
      <x:c r="C95" t="str">
        <x:v>06</x:v>
      </x:c>
      <x:c r="D95" t="str">
        <x:v>M&amp;L</x:v>
      </x:c>
      <x:c r="E95" t="str">
        <x:v>Custom Cabinetry Closets</x:v>
      </x:c>
      <x:c r="F95"/>
      <x:c r="G95"/>
      <x:c r="H95"/>
      <x:c r="I95"/>
      <x:c r="J95" t="n">
        <x:f>L175*N175</x:f>
        <x:v>0</x:v>
      </x:c>
      <x:c r="K95" t="n">
        <x:f>O175/(1-($E$161/100))</x:f>
        <x:v>0</x:v>
      </x:c>
      <x:c r="L95" t="str">
        <x:v>Yes</x:v>
      </x:c>
      <x:c r="M95" t="str">
        <x:v>Yes</x:v>
      </x:c>
      <x:c r="N95" t="str">
        <x:v>Yes</x:v>
      </x:c>
      <x:c r="O95" t="str">
        <x:v>No</x:v>
      </x:c>
    </x:row>
    <x:row r="96" ht="15" hidden="0" customHeight="1">
      <x:c r="A96" t="str">
        <x:v>Miscellaneous</x:v>
      </x:c>
      <x:c r="B96" t="n">
        <x:v>181</x:v>
      </x:c>
      <x:c r="C96" t="str">
        <x:v>01</x:v>
      </x:c>
      <x:c r="D96" t="str">
        <x:v>L</x:v>
      </x:c>
      <x:c r="E96" t="str">
        <x:v>RTM Move</x:v>
      </x:c>
      <x:c r="F96"/>
      <x:c r="G96"/>
      <x:c r="H96" t="str">
        <x:v>Package</x:v>
      </x:c>
      <x:c r="I96" t="n">
        <x:v>20000</x:v>
      </x:c>
      <x:c r="J96" t="n">
        <x:f>L181*N181</x:f>
        <x:v>0</x:v>
      </x:c>
      <x:c r="K96" t="n">
        <x:f>O181/(1-($E$179/100))</x:f>
        <x:v>0</x:v>
      </x:c>
      <x:c r="L96" t="str">
        <x:v>Yes</x:v>
      </x:c>
      <x:c r="M96" t="str">
        <x:v>Yes</x:v>
      </x:c>
      <x:c r="N96" t="str">
        <x:v>Yes</x:v>
      </x:c>
      <x:c r="O96" t="str">
        <x:v>No</x:v>
      </x:c>
    </x:row>
    <x:row r="97" ht="15" hidden="0" customHeight="1">
      <x:c r="A97" t="str">
        <x:v>Miscellaneous</x:v>
      </x:c>
      <x:c r="B97" t="n">
        <x:v>182</x:v>
      </x:c>
      <x:c r="C97" t="str">
        <x:v>01</x:v>
      </x:c>
      <x:c r="D97" t="str">
        <x:v>L</x:v>
      </x:c>
      <x:c r="E97" t="str">
        <x:v>Final Cleaning</x:v>
      </x:c>
      <x:c r="F97" t="str">
        <x:v>(Approx. 1hr Of Cleaning Per 100 Sqft)</x:v>
      </x:c>
      <x:c r="G97" t="e">
        <x:f>Floor_SqFt</x:f>
      </x:c>
      <x:c r="H97" t="str">
        <x:v>Floor Sq/Ft</x:v>
      </x:c>
      <x:c r="I97" t="n">
        <x:v>1.5</x:v>
      </x:c>
      <x:c r="J97" t="n">
        <x:f>L182*N182</x:f>
        <x:v>0</x:v>
      </x:c>
      <x:c r="K97" t="n">
        <x:f>O182/(1-($E$179/100))</x:f>
        <x:v>0</x:v>
      </x:c>
      <x:c r="L97" t="str">
        <x:v>Yes</x:v>
      </x:c>
      <x:c r="M97" t="str">
        <x:v>Yes</x:v>
      </x:c>
      <x:c r="N97" t="str">
        <x:v>Yes</x:v>
      </x:c>
      <x:c r="O97" t="str">
        <x:v>No</x:v>
      </x:c>
    </x:row>
    <x:row r="98" ht="15" hidden="0" customHeight="1">
      <x:c r="A98" t="str">
        <x:v>Miscellaneous</x:v>
      </x:c>
      <x:c r="B98" t="n">
        <x:v>183</x:v>
      </x:c>
      <x:c r="C98" t="str">
        <x:v>08</x:v>
      </x:c>
      <x:c r="D98" t="str">
        <x:v>M&amp;L</x:v>
      </x:c>
      <x:c r="E98" t="str">
        <x:v>Crawl Space Hatch Kit</x:v>
      </x:c>
      <x:c r="F98"/>
      <x:c r="G98"/>
      <x:c r="H98" t="str">
        <x:v>Per Unit</x:v>
      </x:c>
      <x:c r="I98" t="n">
        <x:v>500</x:v>
      </x:c>
      <x:c r="J98" t="n">
        <x:f>L183*N183</x:f>
        <x:v>0</x:v>
      </x:c>
      <x:c r="K98" t="n">
        <x:f>O183/(1-($E$179/100))</x:f>
        <x:v>0</x:v>
      </x:c>
      <x:c r="L98" t="str">
        <x:v>Yes</x:v>
      </x:c>
      <x:c r="M98" t="str">
        <x:v>Yes</x:v>
      </x:c>
      <x:c r="N98" t="str">
        <x:v>Yes</x:v>
      </x:c>
      <x:c r="O98" t="str">
        <x:v>No</x:v>
      </x:c>
    </x:row>
    <x:row r="99" ht="15" hidden="0" customHeight="1">
      <x:c r="A99" t="str">
        <x:v>Miscellaneous</x:v>
      </x:c>
      <x:c r="B99" t="n">
        <x:v>184</x:v>
      </x:c>
      <x:c r="C99" t="str">
        <x:v>09</x:v>
      </x:c>
      <x:c r="D99" t="str">
        <x:v>M&amp;L</x:v>
      </x:c>
      <x:c r="E99" t="str">
        <x:v>Epoxy Flooring</x:v>
      </x:c>
      <x:c r="F99"/>
      <x:c r="G99"/>
      <x:c r="H99" t="str">
        <x:v>Floor Sq/Ft</x:v>
      </x:c>
      <x:c r="I99" t="n">
        <x:v>6</x:v>
      </x:c>
      <x:c r="J99" t="n">
        <x:f>L184*N184</x:f>
        <x:v>0</x:v>
      </x:c>
      <x:c r="K99" t="n">
        <x:f>O184/(1-($E$179/100))</x:f>
        <x:v>0</x:v>
      </x:c>
      <x:c r="L99" t="str">
        <x:v>Yes</x:v>
      </x:c>
      <x:c r="M99" t="str">
        <x:v>Yes</x:v>
      </x:c>
      <x:c r="N99" t="str">
        <x:v>Yes</x:v>
      </x:c>
      <x:c r="O99" t="str">
        <x:v>No</x:v>
      </x:c>
    </x:row>
    <x:row r="100" ht="15" hidden="0" customHeight="1">
      <x:c r="A100" t="str">
        <x:v>Miscellaneous</x:v>
      </x:c>
      <x:c r="B100" t="n">
        <x:v>185</x:v>
      </x:c>
      <x:c r="C100" t="str">
        <x:v>11</x:v>
      </x:c>
      <x:c r="D100" t="str">
        <x:v>M</x:v>
      </x:c>
      <x:c r="E100" t="str">
        <x:v>Appliances</x:v>
      </x:c>
      <x:c r="F100"/>
      <x:c r="G100"/>
      <x:c r="H100" t="str">
        <x:v>Package</x:v>
      </x:c>
      <x:c r="I100"/>
      <x:c r="J100" t="n">
        <x:f>L185*N185</x:f>
        <x:v>0</x:v>
      </x:c>
      <x:c r="K100" t="n">
        <x:f>O185/(1-($E$179/100))</x:f>
        <x:v>0</x:v>
      </x:c>
      <x:c r="L100" t="str">
        <x:v>Yes</x:v>
      </x:c>
      <x:c r="M100" t="str">
        <x:v>Yes</x:v>
      </x:c>
      <x:c r="N100" t="str">
        <x:v>Yes</x:v>
      </x:c>
      <x:c r="O100" t="str">
        <x:v>No</x:v>
      </x:c>
    </x:row>
    <x:row r="101" ht="15" hidden="0" customHeight="1">
      <x:c r="A101" t="str">
        <x:v>Miscellaneous</x:v>
      </x:c>
      <x:c r="B101" t="n">
        <x:v>186</x:v>
      </x:c>
      <x:c r="C101" t="str">
        <x:v>11</x:v>
      </x:c>
      <x:c r="D101" t="str">
        <x:v>M&amp;L</x:v>
      </x:c>
      <x:c r="E101" t="str">
        <x:v>Appliance Set Up</x:v>
      </x:c>
      <x:c r="F101" t="str">
        <x:v>(Plumber Install Of Standard OTR &amp; Dishwasher)</x:v>
      </x:c>
      <x:c r="G101"/>
      <x:c r="H101" t="str">
        <x:v>Package</x:v>
      </x:c>
      <x:c r="I101" t="n">
        <x:v>300</x:v>
      </x:c>
      <x:c r="J101" t="n">
        <x:f>L186*N186</x:f>
        <x:v>0</x:v>
      </x:c>
      <x:c r="K101" t="n">
        <x:f>O186/(1-($E$179/100))</x:f>
        <x:v>0</x:v>
      </x:c>
      <x:c r="L101" t="str">
        <x:v>Yes</x:v>
      </x:c>
      <x:c r="M101" t="str">
        <x:v>Yes</x:v>
      </x:c>
      <x:c r="N101" t="str">
        <x:v>Yes</x:v>
      </x:c>
      <x:c r="O101" t="str">
        <x:v>No</x:v>
      </x:c>
    </x:row>
    <x:row r="102" ht="15" hidden="0" customHeight="1">
      <x:c r="A102" t="str">
        <x:v>Miscellaneous</x:v>
      </x:c>
      <x:c r="B102" t="n">
        <x:v>187</x:v>
      </x:c>
      <x:c r="C102" t="str">
        <x:v>11</x:v>
      </x:c>
      <x:c r="D102" t="str">
        <x:v>M&amp;L</x:v>
      </x:c>
      <x:c r="E102" t="str">
        <x:v>Appliance Placement</x:v>
      </x:c>
      <x:c r="F102" t="str">
        <x:v>($75 Per Appliance Package)</x:v>
      </x:c>
      <x:c r="G102"/>
      <x:c r="H102" t="str">
        <x:v>Package</x:v>
      </x:c>
      <x:c r="I102" t="n">
        <x:v>75</x:v>
      </x:c>
      <x:c r="J102" t="n">
        <x:f>L187*N187</x:f>
        <x:v>0</x:v>
      </x:c>
      <x:c r="K102" t="n">
        <x:f>O187/(1-($E$179/100))</x:f>
        <x:v>0</x:v>
      </x:c>
      <x:c r="L102" t="str">
        <x:v>Yes</x:v>
      </x:c>
      <x:c r="M102" t="str">
        <x:v>Yes</x:v>
      </x:c>
      <x:c r="N102" t="str">
        <x:v>Yes</x:v>
      </x:c>
      <x:c r="O102" t="str">
        <x:v>No</x:v>
      </x:c>
    </x:row>
    <x:row r="103" ht="15" hidden="0" customHeight="1">
      <x:c r="A103" t="str">
        <x:v>Project Costs</x:v>
      </x:c>
      <x:c r="B103" t="n">
        <x:v>194</x:v>
      </x:c>
      <x:c r="C103" t="str">
        <x:v>01</x:v>
      </x:c>
      <x:c r="D103" t="str">
        <x:v>L</x:v>
      </x:c>
      <x:c r="E103" t="str">
        <x:v>PM &amp; SS Fees (Based on Complexity/Distance/Size)</x:v>
      </x:c>
      <x:c r="F103" t="str">
        <x:v>RTM (1-2%), Site Build (3-6%)</x:v>
      </x:c>
      <x:c r="G103" t="n">
        <x:v>0.02</x:v>
      </x:c>
      <x:c r="H103" t="str">
        <x:v>Of</x:v>
      </x:c>
      <x:c r="I103" t="n">
        <x:f>SUM(O179,O161,O150,O142,O133,O120,O113,O104,O92,O79,O67,O53,O44,O32,O7)</x:f>
        <x:v>0</x:v>
      </x:c>
      <x:c r="J103" t="n">
        <x:f>L194*N194</x:f>
        <x:v>0</x:v>
      </x:c>
      <x:c r="K103" t="n">
        <x:f>O194/(1-($E$192/100))</x:f>
        <x:v>0</x:v>
      </x:c>
      <x:c r="L103" t="str">
        <x:v>Yes</x:v>
      </x:c>
      <x:c r="M103" t="str">
        <x:v>Yes</x:v>
      </x:c>
      <x:c r="N103" t="str">
        <x:v>Yes</x:v>
      </x:c>
      <x:c r="O103" t="str">
        <x:v>No</x:v>
      </x:c>
    </x:row>
    <x:row r="104" ht="15" hidden="0" customHeight="1">
      <x:c r="A104" t="str">
        <x:v>Project Costs</x:v>
      </x:c>
      <x:c r="B104" t="n">
        <x:v>195</x:v>
      </x:c>
      <x:c r="C104" t="str">
        <x:v>01</x:v>
      </x:c>
      <x:c r="D104" t="str">
        <x:v>L</x:v>
      </x:c>
      <x:c r="E104" t="str">
        <x:v>Project Service Work</x:v>
      </x:c>
      <x:c r="F104" t="str">
        <x:v>Simple (40hrs), Avg RTM (80hrs), Executive (120hrs)</x:v>
      </x:c>
      <x:c r="G104" t="n">
        <x:v>0</x:v>
      </x:c>
      <x:c r="H104" t="str">
        <x:v>Hours</x:v>
      </x:c>
      <x:c r="I104" t="n">
        <x:v>75</x:v>
      </x:c>
      <x:c r="J104" t="n">
        <x:f>L195*N195</x:f>
        <x:v>0</x:v>
      </x:c>
      <x:c r="K104" t="n">
        <x:f>O195/(1-($E$192/100))</x:f>
        <x:v>0</x:v>
      </x:c>
      <x:c r="L104" t="str">
        <x:v>Yes</x:v>
      </x:c>
      <x:c r="M104" t="str">
        <x:v>Yes</x:v>
      </x:c>
      <x:c r="N104" t="str">
        <x:v>Yes</x:v>
      </x:c>
      <x:c r="O104" t="str">
        <x:v>No</x:v>
      </x:c>
    </x:row>
    <x:row r="105" ht="15" hidden="0" customHeight="1">
      <x:c r="A105" t="str">
        <x:v>Project Costs</x:v>
      </x:c>
      <x:c r="B105" t="n">
        <x:v>196</x:v>
      </x:c>
      <x:c r="C105" t="str">
        <x:v>01</x:v>
      </x:c>
      <x:c r="D105" t="str">
        <x:v>L</x:v>
      </x:c>
      <x:c r="E105" t="str">
        <x:v>Deliveries</x:v>
      </x:c>
      <x:c r="F105" t="str">
        <x:v>Distance From Zaks:</x:v>
      </x:c>
      <x:c r="G105" t="e">
        <x:f>Travel_Distance</x:f>
      </x:c>
      <x:c r="H105" t="str">
        <x:v>Km</x:v>
      </x:c>
      <x:c r="I105" t="n">
        <x:v>6.5</x:v>
      </x:c>
      <x:c r="J105" t="n">
        <x:f>J196*L196*N196</x:f>
        <x:v>0</x:v>
      </x:c>
      <x:c r="K105" t="n">
        <x:f>O196/(1-($E$192/100))</x:f>
        <x:v>0</x:v>
      </x:c>
      <x:c r="L105" t="str">
        <x:v>Yes</x:v>
      </x:c>
      <x:c r="M105" t="str">
        <x:v>Yes</x:v>
      </x:c>
      <x:c r="N105" t="str">
        <x:v>Yes</x:v>
      </x:c>
      <x:c r="O105" t="str">
        <x:v>No</x:v>
      </x:c>
    </x:row>
    <x:row r="106" ht="15" hidden="0" customHeight="1">
      <x:c r="A106" t="str">
        <x:v>Project Costs</x:v>
      </x:c>
      <x:c r="B106" t="n">
        <x:v>197</x:v>
      </x:c>
      <x:c r="C106" t="str">
        <x:v>01</x:v>
      </x:c>
      <x:c r="D106" t="str">
        <x:v>M&amp;L</x:v>
      </x:c>
      <x:c r="E106" t="str">
        <x:v>Disposal</x:v>
      </x:c>
      <x:c r="F106" t="str">
        <x:v>($1,000 Per Month)</x:v>
      </x:c>
      <x:c r="G106"/>
      <x:c r="H106" t="str">
        <x:v>Package</x:v>
      </x:c>
      <x:c r="I106" t="n">
        <x:v>1000</x:v>
      </x:c>
      <x:c r="J106" t="n">
        <x:f>L197*N197</x:f>
        <x:v>0</x:v>
      </x:c>
      <x:c r="K106" t="n">
        <x:f>O197/(1-($E$192/100))</x:f>
        <x:v>0</x:v>
      </x:c>
      <x:c r="L106" t="str">
        <x:v>Yes</x:v>
      </x:c>
      <x:c r="M106" t="str">
        <x:v>Yes</x:v>
      </x:c>
      <x:c r="N106" t="str">
        <x:v>Yes</x:v>
      </x:c>
      <x:c r="O106" t="str">
        <x:v>No</x:v>
      </x:c>
    </x:row>
    <x:row r="107" ht="15" hidden="0" customHeight="1">
      <x:c r="A107" t="str">
        <x:v>Project Costs</x:v>
      </x:c>
      <x:c r="B107" t="n">
        <x:v>198</x:v>
      </x:c>
      <x:c r="C107" t="str">
        <x:v>01</x:v>
      </x:c>
      <x:c r="D107" t="str">
        <x:v>M&amp;L</x:v>
      </x:c>
      <x:c r="E107" t="str">
        <x:v>Contingency</x:v>
      </x:c>
      <x:c r="F107"/>
      <x:c r="G107" t="n">
        <x:v>0.04</x:v>
      </x:c>
      <x:c r="H107" t="str">
        <x:v>Of</x:v>
      </x:c>
      <x:c r="I107" t="n">
        <x:f>SUM(O179,O161,O150,O142,O133,O120,O113,O104,O92,O79,O67,O53,O44,O32,O7)</x:f>
        <x:v>0</x:v>
      </x:c>
      <x:c r="J107" t="n">
        <x:f>L198*N198</x:f>
        <x:v>0</x:v>
      </x:c>
      <x:c r="K107" t="n">
        <x:f>O198/(1-($E$192/100))</x:f>
        <x:v>0</x:v>
      </x:c>
      <x:c r="L107" t="str">
        <x:v>Yes</x:v>
      </x:c>
      <x:c r="M107" t="str">
        <x:v>Yes</x:v>
      </x:c>
      <x:c r="N107" t="str">
        <x:v>Yes</x:v>
      </x:c>
      <x:c r="O107" t="str">
        <x:v>No</x:v>
      </x:c>
    </x:row>
    <x:row r="108" ht="15" hidden="0" customHeight="1">
      <x:c r="A108" t="str">
        <x:v>Project Costs</x:v>
      </x:c>
      <x:c r="B108" t="n">
        <x:v>199</x:v>
      </x:c>
      <x:c r="C108" t="str">
        <x:v>01</x:v>
      </x:c>
      <x:c r="D108" t="str">
        <x:v>L</x:v>
      </x:c>
      <x:c r="E108" t="str">
        <x:v>Residential Drafting</x:v>
      </x:c>
      <x:c r="F108" t="str">
        <x:v>(No Charge On M&amp;L Build, Otherwise $1.25 Per Sq/Ft)</x:v>
      </x:c>
      <x:c r="G108" t="e">
        <x:f>Floor_SqFt</x:f>
      </x:c>
      <x:c r="H108" t="str">
        <x:v>Floor Sq/Ft</x:v>
      </x:c>
      <x:c r="I108" t="n">
        <x:v>1.25</x:v>
      </x:c>
      <x:c r="J108" t="n">
        <x:f>L199*N199</x:f>
        <x:v>0</x:v>
      </x:c>
      <x:c r="K108" t="n">
        <x:f>O199/(1-($E$192/100))</x:f>
        <x:v>0</x:v>
      </x:c>
      <x:c r="L108" t="str">
        <x:v>Yes</x:v>
      </x:c>
      <x:c r="M108" t="str">
        <x:v>Yes</x:v>
      </x:c>
      <x:c r="N108" t="str">
        <x:v>Yes</x:v>
      </x:c>
      <x:c r="O108" t="str">
        <x:v>No</x:v>
      </x:c>
    </x:row>
    <x:row r="109" ht="15" hidden="0" customHeight="1">
      <x:c r="A109" t="str">
        <x:v>Project Costs</x:v>
      </x:c>
      <x:c r="B109" t="n">
        <x:v>200</x:v>
      </x:c>
      <x:c r="C109" t="str">
        <x:v>01</x:v>
      </x:c>
      <x:c r="D109" t="str">
        <x:v>L</x:v>
      </x:c>
      <x:c r="E109" t="str">
        <x:v>Progressive Warranty</x:v>
      </x:c>
      <x:c r="F109" t="str">
        <x:v>(RTM (NIC Sitework) = $450, Reg Site = $725, Lrg Site = $1250)</x:v>
      </x:c>
      <x:c r="G109"/>
      <x:c r="H109" t="str">
        <x:v>Package</x:v>
      </x:c>
      <x:c r="I109" t="n">
        <x:v>450</x:v>
      </x:c>
      <x:c r="J109" t="n">
        <x:f>L200*N200</x:f>
        <x:v>0</x:v>
      </x:c>
      <x:c r="K109" t="n">
        <x:f>O200/(1-($E$192/100))</x:f>
        <x:v>0</x:v>
      </x:c>
      <x:c r="L109" t="str">
        <x:v>Yes</x:v>
      </x:c>
      <x:c r="M109" t="str">
        <x:v>Yes</x:v>
      </x:c>
      <x:c r="N109" t="str">
        <x:v>Yes</x:v>
      </x:c>
      <x:c r="O109" t="str">
        <x:v>No</x:v>
      </x:c>
    </x:row>
    <x:row r="110" ht="15" hidden="0" customHeight="1">
      <x:c r="A110" t="str">
        <x:v>Project Costs</x:v>
      </x:c>
      <x:c r="B110" t="n">
        <x:v>201</x:v>
      </x:c>
      <x:c r="C110" t="str">
        <x:v>01</x:v>
      </x:c>
      <x:c r="D110" t="str">
        <x:v>L</x:v>
      </x:c>
      <x:c r="E110" t="str">
        <x:v>Code Review</x:v>
      </x:c>
      <x:c r="F110"/>
      <x:c r="G110"/>
      <x:c r="H110" t="str">
        <x:v>Package</x:v>
      </x:c>
      <x:c r="I110" t="n">
        <x:v>1000</x:v>
      </x:c>
      <x:c r="J110" t="n">
        <x:f>L201*N201</x:f>
        <x:v>0</x:v>
      </x:c>
      <x:c r="K110" t="n">
        <x:f>O201/(1-($E$192/100))</x:f>
        <x:v>0</x:v>
      </x:c>
      <x:c r="L110" t="str">
        <x:v>Yes</x:v>
      </x:c>
      <x:c r="M110" t="str">
        <x:v>Yes</x:v>
      </x:c>
      <x:c r="N110" t="str">
        <x:v>Yes</x:v>
      </x:c>
      <x:c r="O110" t="str">
        <x:v>No</x:v>
      </x:c>
    </x:row>
    <x:row r="111" ht="15" hidden="0" customHeight="1">
      <x:c r="A111" t="str">
        <x:v>Project Costs</x:v>
      </x:c>
      <x:c r="B111" t="n">
        <x:v>202</x:v>
      </x:c>
      <x:c r="C111" t="str">
        <x:v>00</x:v>
      </x:c>
      <x:c r="D111" t="str">
        <x:v>L</x:v>
      </x:c>
      <x:c r="E111" t="str">
        <x:v>Engineering Tall Wall</x:v>
      </x:c>
      <x:c r="F111"/>
      <x:c r="G111" t="n">
        <x:v>0</x:v>
      </x:c>
      <x:c r="H111" t="str">
        <x:v>Floor Sq/Ft</x:v>
      </x:c>
      <x:c r="I111" t="n">
        <x:v>1</x:v>
      </x:c>
      <x:c r="J111" t="n">
        <x:f>L202*N202</x:f>
        <x:v>0</x:v>
      </x:c>
      <x:c r="K111" t="n">
        <x:f>O202/(1-($E$192/100))</x:f>
        <x:v>0</x:v>
      </x:c>
      <x:c r="L111" t="str">
        <x:v>Yes</x:v>
      </x:c>
      <x:c r="M111" t="str">
        <x:v>Yes</x:v>
      </x:c>
      <x:c r="N111" t="str">
        <x:v>Yes</x:v>
      </x:c>
      <x:c r="O111" t="str">
        <x:v>No</x:v>
      </x:c>
    </x:row>
    <x:row r="112" ht="15" hidden="0" customHeight="1">
      <x:c r="A112" t="str">
        <x:v>Project Costs</x:v>
      </x:c>
      <x:c r="B112" t="n">
        <x:v>203</x:v>
      </x:c>
      <x:c r="C112" t="str">
        <x:v>00</x:v>
      </x:c>
      <x:c r="D112" t="str">
        <x:v>L</x:v>
      </x:c>
      <x:c r="E112" t="str">
        <x:v>Engineering Foundation</x:v>
      </x:c>
      <x:c r="F112"/>
      <x:c r="G112"/>
      <x:c r="H112" t="str">
        <x:v>Floor Sq/Ft</x:v>
      </x:c>
      <x:c r="I112" t="n">
        <x:v>1.25</x:v>
      </x:c>
      <x:c r="J112" t="n">
        <x:f>L203*N203</x:f>
        <x:v>0</x:v>
      </x:c>
      <x:c r="K112" t="n">
        <x:f>O203/(1-($E$192/100))</x:f>
        <x:v>0</x:v>
      </x:c>
      <x:c r="L112" t="str">
        <x:v>Yes</x:v>
      </x:c>
      <x:c r="M112" t="str">
        <x:v>Yes</x:v>
      </x:c>
      <x:c r="N112" t="str">
        <x:v>Yes</x:v>
      </x:c>
      <x:c r="O112" t="str">
        <x:v>No</x:v>
      </x:c>
    </x:row>
    <x:row r="113" ht="15" hidden="0" customHeight="1">
      <x:c r="A113" t="str">
        <x:v>Project Costs</x:v>
      </x:c>
      <x:c r="B113" t="n">
        <x:v>204</x:v>
      </x:c>
      <x:c r="C113" t="str">
        <x:v>00</x:v>
      </x:c>
      <x:c r="D113" t="str">
        <x:v>L</x:v>
      </x:c>
      <x:c r="E113" t="str">
        <x:v>Engineering Mechanical/Electrical</x:v>
      </x:c>
      <x:c r="F113"/>
      <x:c r="G113"/>
      <x:c r="H113"/>
      <x:c r="I113"/>
      <x:c r="J113" t="n">
        <x:f>L204*N204</x:f>
        <x:v>0</x:v>
      </x:c>
      <x:c r="K113" t="n">
        <x:f>O204/(1-($E$192/100))</x:f>
        <x:v>0</x:v>
      </x:c>
      <x:c r="L113" t="str">
        <x:v>Yes</x:v>
      </x:c>
      <x:c r="M113" t="str">
        <x:v>Yes</x:v>
      </x:c>
      <x:c r="N113" t="str">
        <x:v>Yes</x:v>
      </x:c>
      <x:c r="O113" t="str">
        <x:v>No</x:v>
      </x:c>
    </x:row>
    <x:row r="114" ht="15" hidden="0" customHeight="1">
      <x:c r="A114" t="str">
        <x:v>Project Costs</x:v>
      </x:c>
      <x:c r="B114" t="n">
        <x:v>205</x:v>
      </x:c>
      <x:c r="C114" t="str">
        <x:v>00</x:v>
      </x:c>
      <x:c r="D114" t="str">
        <x:v>L</x:v>
      </x:c>
      <x:c r="E114" t="str">
        <x:v>Energy Model</x:v>
      </x:c>
      <x:c r="F114" t="str">
        <x:v>(Residential = $750, Commerical = $3000)</x:v>
      </x:c>
      <x:c r="G114"/>
      <x:c r="H114" t="str">
        <x:v>Package</x:v>
      </x:c>
      <x:c r="I114" t="n">
        <x:v>500</x:v>
      </x:c>
      <x:c r="J114" t="n">
        <x:f>L205*N205</x:f>
        <x:v>0</x:v>
      </x:c>
      <x:c r="K114" t="n">
        <x:f>O205/(1-($E$192/100))</x:f>
        <x:v>0</x:v>
      </x:c>
      <x:c r="L114" t="str">
        <x:v>Yes</x:v>
      </x:c>
      <x:c r="M114" t="str">
        <x:v>Yes</x:v>
      </x:c>
      <x:c r="N114" t="str">
        <x:v>Yes</x:v>
      </x:c>
      <x:c r="O114" t="str">
        <x:v>No</x:v>
      </x:c>
    </x:row>
    <x:row r="115" ht="15" hidden="0" customHeight="1">
      <x:c r="A115" t="str">
        <x:v>Project Costs</x:v>
      </x:c>
      <x:c r="B115" t="n">
        <x:v>206</x:v>
      </x:c>
      <x:c r="C115" t="str">
        <x:v>01</x:v>
      </x:c>
      <x:c r="D115" t="str">
        <x:v>L</x:v>
      </x:c>
      <x:c r="E115" t="str">
        <x:v>Travel Budget</x:v>
      </x:c>
      <x:c r="F115" t="str">
        <x:v>Distance From Zaks:</x:v>
      </x:c>
      <x:c r="G115" t="e">
        <x:f>Travel_Distance</x:f>
      </x:c>
      <x:c r="H115" t="str">
        <x:v>Km</x:v>
      </x:c>
      <x:c r="I115" t="e">
        <x:f>IF(L206&lt;120,'RTM Travel Rates Calc'!L5,IF('RTM Calc'!L206&gt;119,'RTM Travel Rates Calc'!L6,0))</x:f>
      </x:c>
      <x:c r="J115" t="n">
        <x:f>J206*N206</x:f>
        <x:v>0</x:v>
      </x:c>
      <x:c r="K115" t="n">
        <x:f>O206/(1-($E$192/100))</x:f>
        <x:v>0</x:v>
      </x:c>
      <x:c r="L115" t="str">
        <x:v>Yes</x:v>
      </x:c>
      <x:c r="M115" t="str">
        <x:v>Yes</x:v>
      </x:c>
      <x:c r="N115" t="str">
        <x:v>Yes</x:v>
      </x:c>
      <x:c r="O11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343e98ca0eab4c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47.779998779296875" hidden="0" customWidth="1"/>
  </x:cols>
  <x:sheetData>
    <x:row r="1" ht="21.600000381469727" hidden="0" customHeight="1">
      <x:c r="A1" s="1" t="str">
        <x:v>Cost Codes</x:v>
      </x:c>
    </x:row>
    <x:row r="2" ht="15" hidden="0" customHeight="1">
      <x:c r="A2" s="2" t="str">
        <x:v>Construction cost code summary from hidden rows in the current RTM sheet.</x:v>
      </x:c>
    </x:row>
    <x:row r="3"/>
    <x:row r="4" ht="15" hidden="0" customHeight="1">
      <x:c r="A4" s="5" t="str">
        <x:v>Cost Code</x:v>
      </x:c>
      <x:c r="B4" s="5" t="str">
        <x:v>Cost Code Name</x:v>
      </x:c>
    </x:row>
    <x:row r="5" ht="15" hidden="0" customHeight="1">
      <x:c r="A5" t="str">
        <x:v>00</x:v>
      </x:c>
      <x:c r="B5" t="str">
        <x:v>Procurement &amp; Contracting Requirements</x:v>
      </x:c>
    </x:row>
    <x:row r="6" ht="15" hidden="0" customHeight="1">
      <x:c r="A6" t="str">
        <x:v>01</x:v>
      </x:c>
      <x:c r="B6" t="str">
        <x:v>General Requirements</x:v>
      </x:c>
    </x:row>
    <x:row r="7" ht="15" hidden="0" customHeight="1">
      <x:c r="A7" t="str">
        <x:v>02</x:v>
      </x:c>
      <x:c r="B7" t="str">
        <x:v>Existing Conditions</x:v>
      </x:c>
    </x:row>
    <x:row r="8" ht="15" hidden="0" customHeight="1">
      <x:c r="A8" t="str">
        <x:v>03</x:v>
      </x:c>
      <x:c r="B8" t="str">
        <x:v>Concrete</x:v>
      </x:c>
    </x:row>
    <x:row r="9" ht="15" hidden="0" customHeight="1">
      <x:c r="A9" t="str">
        <x:v>04</x:v>
      </x:c>
      <x:c r="B9" t="str">
        <x:v>Masonary</x:v>
      </x:c>
    </x:row>
    <x:row r="10" ht="15" hidden="0" customHeight="1">
      <x:c r="A10" t="str">
        <x:v>05</x:v>
      </x:c>
      <x:c r="B10" t="str">
        <x:v>Metals</x:v>
      </x:c>
    </x:row>
    <x:row r="11" ht="15" hidden="0" customHeight="1">
      <x:c r="A11" t="str">
        <x:v>06</x:v>
      </x:c>
      <x:c r="B11" t="str">
        <x:v>Woods, Plastics and Composites</x:v>
      </x:c>
    </x:row>
    <x:row r="12" ht="15" hidden="0" customHeight="1">
      <x:c r="A12" t="str">
        <x:v>07</x:v>
      </x:c>
      <x:c r="B12" t="str">
        <x:v>Thermal and Moisture Protection</x:v>
      </x:c>
    </x:row>
    <x:row r="13" ht="15" hidden="0" customHeight="1">
      <x:c r="A13" t="str">
        <x:v>08</x:v>
      </x:c>
      <x:c r="B13" t="str">
        <x:v>Openings</x:v>
      </x:c>
    </x:row>
    <x:row r="14" ht="15" hidden="0" customHeight="1">
      <x:c r="A14" t="str">
        <x:v>09</x:v>
      </x:c>
      <x:c r="B14" t="str">
        <x:v>Finishes</x:v>
      </x:c>
    </x:row>
    <x:row r="15" ht="15" hidden="0" customHeight="1">
      <x:c r="A15" t="str">
        <x:v>10</x:v>
      </x:c>
      <x:c r="B15" t="str">
        <x:v>Specialties</x:v>
      </x:c>
    </x:row>
    <x:row r="16" ht="15" hidden="0" customHeight="1">
      <x:c r="A16" t="str">
        <x:v>11</x:v>
      </x:c>
      <x:c r="B16" t="str">
        <x:v>Equipment</x:v>
      </x:c>
    </x:row>
    <x:row r="17" ht="15" hidden="0" customHeight="1">
      <x:c r="A17" t="str">
        <x:v>12</x:v>
      </x:c>
      <x:c r="B17" t="str">
        <x:v>Furnishings</x:v>
      </x:c>
    </x:row>
    <x:row r="18" ht="15" hidden="0" customHeight="1">
      <x:c r="A18" t="str">
        <x:v>13</x:v>
      </x:c>
      <x:c r="B18" t="str">
        <x:v>Special Construction</x:v>
      </x:c>
    </x:row>
    <x:row r="19" ht="15" hidden="0" customHeight="1">
      <x:c r="A19" t="str">
        <x:v>14</x:v>
      </x:c>
      <x:c r="B19" t="str">
        <x:v>Conveying Equipment</x:v>
      </x:c>
    </x:row>
    <x:row r="20" ht="15" hidden="0" customHeight="1">
      <x:c r="A20" t="str">
        <x:v>22</x:v>
      </x:c>
      <x:c r="B20" t="str">
        <x:v>Plumbing, Fire Suppression &amp; HVAC</x:v>
      </x:c>
    </x:row>
    <x:row r="21" ht="15" hidden="0" customHeight="1">
      <x:c r="A21" t="str">
        <x:v>26</x:v>
      </x:c>
      <x:c r="B21" t="str">
        <x:v>Electrical &amp; Integrated Automation</x:v>
      </x:c>
    </x:row>
    <x:row r="22" ht="15" hidden="0" customHeight="1">
      <x:c r="A22" t="str">
        <x:v>31</x:v>
      </x:c>
      <x:c r="B22" t="str">
        <x:v>Earthwork</x:v>
      </x:c>
    </x:row>
    <x:row r="23" ht="15" hidden="0" customHeight="1">
      <x:c r="A23" t="str">
        <x:v>33</x:v>
      </x:c>
      <x:c r="B23" t="str">
        <x:v>Utilities</x:v>
      </x:c>
    </x:row>
  </x:sheetData>
  <x:pageMargins left="0.7" right="0.7" top="0.75" bottom="0.75" header="0.3" footer="0.3"/>
  <x:tableParts count="1">
    <x:tablePart xmlns:r="http://schemas.openxmlformats.org/officeDocument/2006/relationships" r:id="Rb005c125cac34a2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23.549999237060547" hidden="0" customWidth="1"/>
    <x:col min="3" max="3" width="39.70000076293945" hidden="0" customWidth="1"/>
  </x:cols>
  <x:sheetData>
    <x:row r="1" ht="21.600000381469727" hidden="0" customHeight="1">
      <x:c r="A1" s="1" t="str">
        <x:v>Categories and Units</x:v>
      </x:c>
    </x:row>
    <x:row r="2" ht="15" hidden="0" customHeight="1">
      <x:c r="A2" s="2" t="str">
        <x:v>Controlled lists to use in the app instead of free typing.</x:v>
      </x:c>
    </x:row>
    <x:row r="3"/>
    <x:row r="4" ht="15" hidden="0" customHeight="1">
      <x:c r="A4" s="5" t="str">
        <x:v>List Type</x:v>
      </x:c>
      <x:c r="B4" s="5" t="str">
        <x:v>Value</x:v>
      </x:c>
      <x:c r="C4" s="5" t="str">
        <x:v>Meaning / Notes</x:v>
      </x:c>
    </x:row>
    <x:row r="5" ht="15" hidden="0" customHeight="1">
      <x:c r="A5" t="str">
        <x:v>Category</x:v>
      </x:c>
      <x:c r="B5" t="str">
        <x:v>L</x:v>
      </x:c>
      <x:c r="C5" t="str">
        <x:v>Labor</x:v>
      </x:c>
    </x:row>
    <x:row r="6" ht="15" hidden="0" customHeight="1">
      <x:c r="A6" t="str">
        <x:v>Category</x:v>
      </x:c>
      <x:c r="B6" t="str">
        <x:v>M</x:v>
      </x:c>
      <x:c r="C6" t="str">
        <x:v>Material</x:v>
      </x:c>
    </x:row>
    <x:row r="7" ht="15" hidden="0" customHeight="1">
      <x:c r="A7" t="str">
        <x:v>Category</x:v>
      </x:c>
      <x:c r="B7" t="str">
        <x:v>M&amp;L</x:v>
      </x:c>
      <x:c r="C7" t="str">
        <x:v>Material and labor</x:v>
      </x:c>
    </x:row>
    <x:row r="8" ht="15" hidden="0" customHeight="1">
      <x:c r="A8" t="str">
        <x:v>Category</x:v>
      </x:c>
      <x:c r="B8" t="str">
        <x:v>RTM/  House</x:v>
      </x:c>
      <x:c r="C8" t="str">
        <x:v>Current workbook value</x:v>
      </x:c>
    </x:row>
    <x:row r="9" ht="15" hidden="0" customHeight="1">
      <x:c r="A9" t="str">
        <x:v>Unit</x:v>
      </x:c>
      <x:c r="B9" t="str">
        <x:v>Bundle</x:v>
      </x:c>
      <x:c r="C9" t="str"/>
    </x:row>
    <x:row r="10" ht="15" hidden="0" customHeight="1">
      <x:c r="A10" t="str">
        <x:v>Unit</x:v>
      </x:c>
      <x:c r="B10" t="str">
        <x:v>Case Fill:</x:v>
      </x:c>
      <x:c r="C10" t="str"/>
    </x:row>
    <x:row r="11" ht="15" hidden="0" customHeight="1">
      <x:c r="A11" t="str">
        <x:v>Unit</x:v>
      </x:c>
      <x:c r="B11" t="str">
        <x:v>Door Qty:</x:v>
      </x:c>
      <x:c r="C11" t="str"/>
    </x:row>
    <x:row r="12" ht="15" hidden="0" customHeight="1">
      <x:c r="A12" t="str">
        <x:v>Unit</x:v>
      </x:c>
      <x:c r="B12" t="str">
        <x:v>Floor Sq/Ft</x:v>
      </x:c>
      <x:c r="C12" t="str"/>
    </x:row>
    <x:row r="13" ht="15" hidden="0" customHeight="1">
      <x:c r="A13" t="str">
        <x:v>Unit</x:v>
      </x:c>
      <x:c r="B13" t="str">
        <x:v>Hours</x:v>
      </x:c>
      <x:c r="C13" t="str"/>
    </x:row>
    <x:row r="14" ht="15" hidden="0" customHeight="1">
      <x:c r="A14" t="str">
        <x:v>Unit</x:v>
      </x:c>
      <x:c r="B14" t="str">
        <x:v>Km</x:v>
      </x:c>
      <x:c r="C14" t="str"/>
    </x:row>
    <x:row r="15" ht="15" hidden="0" customHeight="1">
      <x:c r="A15" t="str">
        <x:v>Unit</x:v>
      </x:c>
      <x:c r="B15" t="str">
        <x:v>Ln/Ft</x:v>
      </x:c>
      <x:c r="C15" t="str"/>
    </x:row>
    <x:row r="16" ht="15" hidden="0" customHeight="1">
      <x:c r="A16" t="str">
        <x:v>Unit</x:v>
      </x:c>
      <x:c r="B16" t="str">
        <x:v>Of</x:v>
      </x:c>
      <x:c r="C16" t="str"/>
    </x:row>
    <x:row r="17" ht="15" hidden="0" customHeight="1">
      <x:c r="A17" t="str">
        <x:v>Unit</x:v>
      </x:c>
      <x:c r="B17" t="str">
        <x:v>Package</x:v>
      </x:c>
      <x:c r="C17" t="str"/>
    </x:row>
    <x:row r="18" ht="15" hidden="0" customHeight="1">
      <x:c r="A18" t="str">
        <x:v>Unit</x:v>
      </x:c>
      <x:c r="B18" t="str">
        <x:v>Pce</x:v>
      </x:c>
      <x:c r="C18" t="str"/>
    </x:row>
    <x:row r="19" ht="15" hidden="0" customHeight="1">
      <x:c r="A19" t="str">
        <x:v>Unit</x:v>
      </x:c>
      <x:c r="B19" t="str">
        <x:v>Per Shelf</x:v>
      </x:c>
      <x:c r="C19" t="str"/>
    </x:row>
    <x:row r="20" ht="15" hidden="0" customHeight="1">
      <x:c r="A20" t="str">
        <x:v>Unit</x:v>
      </x:c>
      <x:c r="B20" t="str">
        <x:v>Per Unit</x:v>
      </x:c>
      <x:c r="C20" t="str"/>
    </x:row>
    <x:row r="21" ht="15" hidden="0" customHeight="1">
      <x:c r="A21" t="str">
        <x:v>Unit</x:v>
      </x:c>
      <x:c r="B21" t="str">
        <x:v>Sidelight Qty:</x:v>
      </x:c>
      <x:c r="C21" t="str"/>
    </x:row>
    <x:row r="22" ht="15" hidden="0" customHeight="1">
      <x:c r="A22" t="str">
        <x:v>Unit</x:v>
      </x:c>
      <x:c r="B22" t="str">
        <x:v>Sq/Ft</x:v>
      </x:c>
      <x:c r="C22" t="str"/>
    </x:row>
    <x:row r="23" ht="15" hidden="0" customHeight="1">
      <x:c r="A23" t="str">
        <x:v>Unit</x:v>
      </x:c>
      <x:c r="B23" t="str">
        <x:v>Wall Height:</x:v>
      </x:c>
      <x:c r="C23" t="str"/>
    </x:row>
    <x:row r="24" ht="15" hidden="0" customHeight="1">
      <x:c r="A24" t="str">
        <x:v>Unit</x:v>
      </x:c>
      <x:c r="B24" t="str">
        <x:v>Wall Sq/Ft</x:v>
      </x:c>
      <x:c r="C24" t="str"/>
    </x:row>
  </x:sheetData>
  <x:pageMargins left="0.7" right="0.7" top="0.75" bottom="0.75" header="0.3" footer="0.3"/>
  <x:tableParts count="1">
    <x:tablePart xmlns:r="http://schemas.openxmlformats.org/officeDocument/2006/relationships" r:id="R90e7d4510bcb4a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23.549999237060547" hidden="0" customWidth="1"/>
    <x:col min="3" max="3" width="15.479999542236328" hidden="0" customWidth="1"/>
    <x:col min="4" max="4" width="61.2400016784668" hidden="0" customWidth="1"/>
  </x:cols>
  <x:sheetData>
    <x:row r="1" ht="21.600000381469727" hidden="0" customHeight="1">
      <x:c r="A1" s="1" t="str">
        <x:v>Tax and Margin Rules</x:v>
      </x:c>
    </x:row>
    <x:row r="2" ht="15" hidden="0" customHeight="1">
      <x:c r="A2" s="2" t="str">
        <x:v>Default business rules for the estimating engine.</x:v>
      </x:c>
    </x:row>
    <x:row r="3"/>
    <x:row r="4" ht="15" hidden="0" customHeight="1">
      <x:c r="A4" s="5" t="str">
        <x:v>Rule</x:v>
      </x:c>
      <x:c r="B4" s="5" t="str">
        <x:v>Default</x:v>
      </x:c>
      <x:c r="C4" s="5" t="str">
        <x:v>Adjustable?</x:v>
      </x:c>
      <x:c r="D4" s="5" t="str">
        <x:v>Notes</x:v>
      </x:c>
    </x:row>
    <x:row r="5" ht="15" hidden="0" customHeight="1">
      <x:c r="A5" t="str">
        <x:v>Project margin</x:v>
      </x:c>
      <x:c r="B5" t="str">
        <x:v>18%</x:v>
      </x:c>
      <x:c r="C5" t="str">
        <x:v>Yes</x:v>
      </x:c>
      <x:c r="D5" t="str">
        <x:v>Can be overridden on project and section.</x:v>
      </x:c>
    </x:row>
    <x:row r="6" ht="15" hidden="0" customHeight="1">
      <x:c r="A6" t="str">
        <x:v>Section margin</x:v>
      </x:c>
      <x:c r="B6" t="str">
        <x:v>18% starting target</x:v>
      </x:c>
      <x:c r="C6" t="str">
        <x:v>Yes</x:v>
      </x:c>
      <x:c r="D6" t="str">
        <x:v>Current sheet has section-specific defaults.</x:v>
      </x:c>
    </x:row>
    <x:row r="7" ht="15" hidden="0" customHeight="1">
      <x:c r="A7" t="str">
        <x:v>PST</x:v>
      </x:c>
      <x:c r="B7" t="str">
        <x:v>6%</x:v>
      </x:c>
      <x:c r="C7" t="str">
        <x:v>Yes</x:v>
      </x:c>
      <x:c r="D7" t="str">
        <x:v>Default taxable flag should be editable by line.</x:v>
      </x:c>
    </x:row>
    <x:row r="8" ht="15" hidden="0" customHeight="1">
      <x:c r="A8" t="str">
        <x:v>GST</x:v>
      </x:c>
      <x:c r="B8" t="str">
        <x:v>5%</x:v>
      </x:c>
      <x:c r="C8" t="str">
        <x:v>Yes</x:v>
      </x:c>
      <x:c r="D8" t="str">
        <x:v>Default taxable flag should be editable by line.</x:v>
      </x:c>
    </x:row>
    <x:row r="9" ht="15" hidden="0" customHeight="1">
      <x:c r="A9" t="str">
        <x:v>RTM/site-built format</x:v>
      </x:c>
      <x:c r="B9" t="str">
        <x:v>Shared</x:v>
      </x:c>
      <x:c r="C9" t="str">
        <x:v>Yes</x:v>
      </x:c>
      <x:c r="D9" t="str">
        <x:v>Use one estimate engine with project type defaults.</x:v>
      </x:c>
    </x:row>
  </x:sheetData>
  <x:pageMargins left="0.7" right="0.7" top="0.75" bottom="0.75" header="0.3" footer="0.3"/>
  <x:tableParts count="1">
    <x:tablePart xmlns:r="http://schemas.openxmlformats.org/officeDocument/2006/relationships" r:id="R9a79c5ea889648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69.30999755859375" hidden="0" customWidth="1"/>
  </x:cols>
  <x:sheetData>
    <x:row r="1" ht="21.600000381469727" hidden="0" customHeight="1">
      <x:c r="A1" s="1" t="str">
        <x:v>Broken Formula References</x:v>
      </x:c>
    </x:row>
    <x:row r="2" ht="15" hidden="0" customHeight="1">
      <x:c r="A2" s="2" t="str">
        <x:v>Items to review before rebuilding the logic in the app.</x:v>
      </x:c>
    </x:row>
    <x:row r="3"/>
    <x:row r="4" ht="15" hidden="0" customHeight="1">
      <x:c r="A4" s="5" t="str">
        <x:v>Cell</x:v>
      </x:c>
      <x:c r="B4" s="5" t="str">
        <x:v>Formula</x:v>
      </x:c>
    </x:row>
    <x:row r="5" ht="15" hidden="0" customHeight="1">
      <x:c r="A5" t="str">
        <x:v>W22</x:v>
      </x:c>
      <x:c r="B5" t="e">
        <x:f>IF(Garage_SqFt&gt;0,ROUNDUP(SUM(#REF!)/Garage_SqFt,0),0)</x:f>
      </x:c>
    </x:row>
    <x:row r="6" ht="15" hidden="0" customHeight="1">
      <x:c r="A6" t="str">
        <x:v>W23</x:v>
      </x:c>
      <x:c r="B6" t="e">
        <x:f>IF(Floor_SqFt&gt;0,ROUNDUP(SUM(#REF!)/Floor_SqFt,0),0)</x:f>
      </x:c>
    </x:row>
    <x:row r="7" ht="15" hidden="0" customHeight="1">
      <x:c r="A7" t="str">
        <x:v>W24</x:v>
      </x:c>
      <x:c r="B7" t="e">
        <x:f>IF(OR(#REF!&gt;0,#REF!&gt;0),ROUNDUP(SUM(#REF!)/(#REF!+#REF!),0),0)</x:f>
      </x:c>
    </x:row>
    <x:row r="8" ht="15" hidden="0" customHeight="1">
      <x:c r="A8" t="str">
        <x:v>W137</x:v>
      </x:c>
      <x:c r="B8" t="e">
        <x:f>#REF!/(1-($E$7/100))</x:f>
      </x:c>
    </x:row>
  </x:sheetData>
  <x:pageMargins left="0.7" right="0.7" top="0.75" bottom="0.75" header="0.3" footer="0.3"/>
  <x:tableParts count="1">
    <x:tablePart xmlns:r="http://schemas.openxmlformats.org/officeDocument/2006/relationships" r:id="Re03540ccc9f9429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24.899999618530273" hidden="0" customWidth="1"/>
    <x:col min="3" max="3" width="15.479999542236328" hidden="0" customWidth="1"/>
    <x:col min="4" max="4" width="55.849998474121094" hidden="0" customWidth="1"/>
  </x:cols>
  <x:sheetData>
    <x:row r="1" ht="21.600000381469727" hidden="0" customHeight="1">
      <x:c r="A1" s="1" t="str">
        <x:v>Recommended App Fields</x:v>
      </x:c>
    </x:row>
    <x:row r="2" ht="15" hidden="0" customHeight="1">
      <x:c r="A2" s="2" t="str">
        <x:v>Database field list for the first estimating prototype.</x:v>
      </x:c>
    </x:row>
    <x:row r="3"/>
    <x:row r="4" ht="15" hidden="0" customHeight="1">
      <x:c r="A4" s="5" t="str">
        <x:v>Record</x:v>
      </x:c>
      <x:c r="B4" s="5" t="str">
        <x:v>Field</x:v>
      </x:c>
      <x:c r="C4" s="5" t="str">
        <x:v>Type</x:v>
      </x:c>
      <x:c r="D4" s="5" t="str">
        <x:v>Notes</x:v>
      </x:c>
    </x:row>
    <x:row r="5" ht="15" hidden="0" customHeight="1">
      <x:c r="A5" t="str">
        <x:v>Estimate</x:v>
      </x:c>
      <x:c r="B5" t="str">
        <x:v>project_type</x:v>
      </x:c>
      <x:c r="C5" t="str">
        <x:v>choice</x:v>
      </x:c>
      <x:c r="D5" t="str">
        <x:v>RTM or site-built</x:v>
      </x:c>
    </x:row>
    <x:row r="6" ht="15" hidden="0" customHeight="1">
      <x:c r="A6" t="str">
        <x:v>Estimate</x:v>
      </x:c>
      <x:c r="B6" t="str">
        <x:v>target_margin_pct</x:v>
      </x:c>
      <x:c r="C6" t="str">
        <x:v>percent</x:v>
      </x:c>
      <x:c r="D6" t="str">
        <x:v>Default 18%</x:v>
      </x:c>
    </x:row>
    <x:row r="7" ht="15" hidden="0" customHeight="1">
      <x:c r="A7" t="str">
        <x:v>Estimate</x:v>
      </x:c>
      <x:c r="B7" t="str">
        <x:v>pst_rate</x:v>
      </x:c>
      <x:c r="C7" t="str">
        <x:v>percent</x:v>
      </x:c>
      <x:c r="D7" t="str">
        <x:v>Default 6%</x:v>
      </x:c>
    </x:row>
    <x:row r="8" ht="15" hidden="0" customHeight="1">
      <x:c r="A8" t="str">
        <x:v>Estimate</x:v>
      </x:c>
      <x:c r="B8" t="str">
        <x:v>gst_rate</x:v>
      </x:c>
      <x:c r="C8" t="str">
        <x:v>percent</x:v>
      </x:c>
      <x:c r="D8" t="str">
        <x:v>Default 5%</x:v>
      </x:c>
    </x:row>
    <x:row r="9" ht="15" hidden="0" customHeight="1">
      <x:c r="A9" t="str">
        <x:v>Section</x:v>
      </x:c>
      <x:c r="B9" t="str">
        <x:v>default_margin_pct</x:v>
      </x:c>
      <x:c r="C9" t="str">
        <x:v>percent</x:v>
      </x:c>
      <x:c r="D9" t="str">
        <x:v>Can be adjusted</x:v>
      </x:c>
    </x:row>
    <x:row r="10" ht="15" hidden="0" customHeight="1">
      <x:c r="A10" t="str">
        <x:v>Line Item</x:v>
      </x:c>
      <x:c r="B10" t="str">
        <x:v>cost_code</x:v>
      </x:c>
      <x:c r="C10" t="str">
        <x:v>choice</x:v>
      </x:c>
      <x:c r="D10" t="str">
        <x:v>Use extracted cost code table</x:v>
      </x:c>
    </x:row>
    <x:row r="11" ht="15" hidden="0" customHeight="1">
      <x:c r="A11" t="str">
        <x:v>Line Item</x:v>
      </x:c>
      <x:c r="B11" t="str">
        <x:v>category</x:v>
      </x:c>
      <x:c r="C11" t="str">
        <x:v>choice</x:v>
      </x:c>
      <x:c r="D11" t="str">
        <x:v>M, L, M&amp;L, allowance, subcontract, project cost</x:v>
      </x:c>
    </x:row>
    <x:row r="12" ht="15" hidden="0" customHeight="1">
      <x:c r="A12" t="str">
        <x:v>Line Item</x:v>
      </x:c>
      <x:c r="B12" t="str">
        <x:v>quantity</x:v>
      </x:c>
      <x:c r="C12" t="str">
        <x:v>number</x:v>
      </x:c>
      <x:c r="D12" t="str">
        <x:v>Manual or calculator-fed</x:v>
      </x:c>
    </x:row>
    <x:row r="13" ht="15" hidden="0" customHeight="1">
      <x:c r="A13" t="str">
        <x:v>Line Item</x:v>
      </x:c>
      <x:c r="B13" t="str">
        <x:v>unit</x:v>
      </x:c>
      <x:c r="C13" t="str">
        <x:v>choice</x:v>
      </x:c>
      <x:c r="D13" t="str">
        <x:v>Use extracted unit table</x:v>
      </x:c>
    </x:row>
    <x:row r="14" ht="15" hidden="0" customHeight="1">
      <x:c r="A14" t="str">
        <x:v>Line Item</x:v>
      </x:c>
      <x:c r="B14" t="str">
        <x:v>unit_cost</x:v>
      </x:c>
      <x:c r="C14" t="str">
        <x:v>currency</x:v>
      </x:c>
      <x:c r="D14" t="str">
        <x:v>Manual, template, or calculator-fed</x:v>
      </x:c>
    </x:row>
    <x:row r="15" ht="15" hidden="0" customHeight="1">
      <x:c r="A15" t="str">
        <x:v>Line Item</x:v>
      </x:c>
      <x:c r="B15" t="str">
        <x:v>pst_taxable</x:v>
      </x:c>
      <x:c r="C15" t="str">
        <x:v>boolean</x:v>
      </x:c>
      <x:c r="D15" t="str">
        <x:v>Default yes, editable</x:v>
      </x:c>
    </x:row>
    <x:row r="16" ht="15" hidden="0" customHeight="1">
      <x:c r="A16" t="str">
        <x:v>Line Item</x:v>
      </x:c>
      <x:c r="B16" t="str">
        <x:v>gst_taxable</x:v>
      </x:c>
      <x:c r="C16" t="str">
        <x:v>boolean</x:v>
      </x:c>
      <x:c r="D16" t="str">
        <x:v>Default yes, editable</x:v>
      </x:c>
    </x:row>
    <x:row r="17" ht="15" hidden="0" customHeight="1">
      <x:c r="A17" t="str">
        <x:v>Allowance</x:v>
      </x:c>
      <x:c r="B17" t="str">
        <x:v>allowance_amount</x:v>
      </x:c>
      <x:c r="C17" t="str">
        <x:v>currency</x:v>
      </x:c>
      <x:c r="D17" t="str">
        <x:v>Tracked separately from base estimate</x:v>
      </x:c>
    </x:row>
    <x:row r="18" ht="15" hidden="0" customHeight="1">
      <x:c r="A18" t="str">
        <x:v>Change Order</x:v>
      </x:c>
      <x:c r="B18" t="str">
        <x:v>approved_price</x:v>
      </x:c>
      <x:c r="C18" t="str">
        <x:v>currency</x:v>
      </x:c>
      <x:c r="D18" t="str">
        <x:v>Can affect schedule and QuickBooks export</x:v>
      </x:c>
    </x:row>
  </x:sheetData>
  <x:pageMargins left="0.7" right="0.7" top="0.75" bottom="0.75" header="0.3" footer="0.3"/>
  <x:tableParts count="1">
    <x:tablePart xmlns:r="http://schemas.openxmlformats.org/officeDocument/2006/relationships" r:id="Reb1a67e9e1e8411c"/>
  </x:tableParts>
</x:worksheet>
</file>